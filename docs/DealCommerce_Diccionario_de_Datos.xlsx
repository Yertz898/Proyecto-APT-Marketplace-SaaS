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Índice" sheetId="2" state="visible" r:id="rId4"/>
    <sheet name="Diccionario" sheetId="3" state="visible" r:id="rId5"/>
    <sheet name="Restri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<sst xmlns="http://schemas.openxmlformats.org/spreadsheetml/2006/main" count="2565" uniqueCount="589">
  <si>
    <t xml:space="preserve">DealCommerce · Diccionario de datos</t>
  </si>
  <si>
    <t xml:space="preserve">Versión 1 · 04-10-2026 · Pedro Santibáñez y Daniel Azócar · PostgreSQL 17 con Django</t>
  </si>
  <si>
    <t xml:space="preserve">Hojas</t>
  </si>
  <si>
    <t xml:space="preserve">Índice</t>
  </si>
  <si>
    <t xml:space="preserve">Una fila por tabla: grupo, estado, descripción y cantidad de campos.</t>
  </si>
  <si>
    <t xml:space="preserve">Diccionario</t>
  </si>
  <si>
    <t xml:space="preserve">Una fila por campo de cada tabla. Usa los filtros del encabezado para ver una tabla o un estado.</t>
  </si>
  <si>
    <t xml:space="preserve">Restricciones</t>
  </si>
  <si>
    <t xml:space="preserve">Reglas de unicidad y de validación que no caben en un solo campo.</t>
  </si>
  <si>
    <t xml:space="preserve">Estado de cada tabla</t>
  </si>
  <si>
    <t xml:space="preserve">Implementado</t>
  </si>
  <si>
    <t xml:space="preserve">Existe en el código (backend/apps).</t>
  </si>
  <si>
    <t xml:space="preserve">Planificado</t>
  </si>
  <si>
    <t xml:space="preserve">Diseñado, todavía sin programar. Puede cambiar al implementarse.</t>
  </si>
  <si>
    <t xml:space="preserve">Decisión pendiente</t>
  </si>
  <si>
    <t xml:space="preserve">Existe en el código, pero se decide con el cliente si se mantiene.</t>
  </si>
  <si>
    <t xml:space="preserve">Congelado</t>
  </si>
  <si>
    <t xml:space="preserve">Existe en el código, pero no se avanza hasta que el cliente lo confirme.</t>
  </si>
  <si>
    <t xml:space="preserve">Columna Clave</t>
  </si>
  <si>
    <t xml:space="preserve">PK</t>
  </si>
  <si>
    <t xml:space="preserve">Clave primaria.</t>
  </si>
  <si>
    <t xml:space="preserve">FK</t>
  </si>
  <si>
    <t xml:space="preserve">Clave foránea. La columna Referencia indica la tabla y qué pasa al borrar (CASCADE, PROTECT, SET NULL).</t>
  </si>
  <si>
    <t xml:space="preserve">UQ</t>
  </si>
  <si>
    <t xml:space="preserve">Valor único (solo o combinado con la tienda; ver Restricciones).</t>
  </si>
  <si>
    <t xml:space="preserve">Reglas generales</t>
  </si>
  <si>
    <t xml:space="preserve">Aislamiento</t>
  </si>
  <si>
    <t xml:space="preserve">Toda tabla con tienda_id pertenece a una tienda. Toda consulta se filtra por la tienda del usuario autenticado; pedir un dato de otra tienda responde 404.</t>
  </si>
  <si>
    <t xml:space="preserve">Montos</t>
  </si>
  <si>
    <t xml:space="preserve">Pesos chilenos enteros, netos (sin IVA). El IVA (19%) se calcula aparte con Decimal y redondeo medio hacia arriba.</t>
  </si>
  <si>
    <t xml:space="preserve">Gramos</t>
  </si>
  <si>
    <t xml:space="preserve">Decimal, nunca Float.</t>
  </si>
  <si>
    <t xml:space="preserve">Fechas</t>
  </si>
  <si>
    <t xml:space="preserve">Se guardan en UTC y se muestran en hora de Chile (America/Santiago).</t>
  </si>
  <si>
    <t xml:space="preserve">Archivos</t>
  </si>
  <si>
    <t xml:space="preserve">Las imágenes y planillas viven en Cloudflare R2; la base guarda solo la clave del objeto.</t>
  </si>
  <si>
    <t xml:space="preserve">Base común</t>
  </si>
  <si>
    <t xml:space="preserve">Las tablas con tienda heredan tienda_id, fecha_creacion y fecha_edicion del modelo base ModeloDeTienda.</t>
  </si>
  <si>
    <t xml:space="preserve">Django</t>
  </si>
  <si>
    <t xml:space="preserve">La tabla usuario además usa las tablas de grupos y permisos propias de Django, que no se detallan aquí.</t>
  </si>
  <si>
    <t xml:space="preserve">N°</t>
  </si>
  <si>
    <t xml:space="preserve">Tabla</t>
  </si>
  <si>
    <t xml:space="preserve">Modelo Django</t>
  </si>
  <si>
    <t xml:space="preserve">Grupo</t>
  </si>
  <si>
    <t xml:space="preserve">Estado</t>
  </si>
  <si>
    <t xml:space="preserve">Campos</t>
  </si>
  <si>
    <t xml:space="preserve">Descripción</t>
  </si>
  <si>
    <t xml:space="preserve">tienda</t>
  </si>
  <si>
    <t xml:space="preserve">Tienda</t>
  </si>
  <si>
    <t xml:space="preserve">Identidad y acceso</t>
  </si>
  <si>
    <t xml:space="preserve">Cada comercio suscrito a la plataforma. Es la raíz del aislamiento: todo dato cuelga de una tienda.</t>
  </si>
  <si>
    <t xml:space="preserve">usuario</t>
  </si>
  <si>
    <t xml:space="preserve">Usuario</t>
  </si>
  <si>
    <t xml:space="preserve">Cuentas de acceso. El rol define qué puede hacer; la tienda define qué datos puede ver.</t>
  </si>
  <si>
    <t xml:space="preserve">solicitud_de_acceso</t>
  </si>
  <si>
    <t xml:space="preserve">SolicitudDeAcceso</t>
  </si>
  <si>
    <t xml:space="preserve">Negocios que pidieron entrar a la plataforma desde la portada. Única tabla sin tienda: existe antes de que la tienda exista.</t>
  </si>
  <si>
    <t xml:space="preserve">aprobacion_mayorista</t>
  </si>
  <si>
    <t xml:space="preserve">AprobacionMayorista</t>
  </si>
  <si>
    <t xml:space="preserve">Estado de un comprador en una tienda. Pendiente de decidir si se mantiene, se adapta o se elimina, según si el cliente aprueba compradores.</t>
  </si>
  <si>
    <t xml:space="preserve">categoria</t>
  </si>
  <si>
    <t xml:space="preserve">Categoria</t>
  </si>
  <si>
    <t xml:space="preserve">Catálogo y precios</t>
  </si>
  <si>
    <t xml:space="preserve">Categorías de pieza de cada tienda. Las usan la composición de los lotes y el pronóstico.</t>
  </si>
  <si>
    <t xml:space="preserve">lote</t>
  </si>
  <si>
    <t xml:space="preserve">Lote</t>
  </si>
  <si>
    <t xml:space="preserve">Unidad de venta cerrada. Es una composición (piezas por categoría), no una lista de piezas concretas.</t>
  </si>
  <si>
    <t xml:space="preserve">composicion_lote</t>
  </si>
  <si>
    <t xml:space="preserve">ComposicionLote</t>
  </si>
  <si>
    <t xml:space="preserve">Cuántas piezas de cada categoría trae un lote.</t>
  </si>
  <si>
    <t xml:space="preserve">linea_granel</t>
  </si>
  <si>
    <t xml:space="preserve">LineaGranel</t>
  </si>
  <si>
    <t xml:space="preserve">Venta por gramo. No tiene stock: el dueño la activa o desactiva a mano.</t>
  </si>
  <si>
    <t xml:space="preserve">tramo_precio</t>
  </si>
  <si>
    <t xml:space="preserve">TramoPrecio</t>
  </si>
  <si>
    <t xml:space="preserve">Tramos de precio por cantidad, para una línea de granel o para los lotes de la tienda.</t>
  </si>
  <si>
    <t xml:space="preserve">pedido</t>
  </si>
  <si>
    <t xml:space="preserve">Pedido</t>
  </si>
  <si>
    <t xml:space="preserve">Pedidos</t>
  </si>
  <si>
    <t xml:space="preserve">Pedido de un comprador. Checkout simulado: no se cobra; el pago se coordina por WhatsApp.</t>
  </si>
  <si>
    <t xml:space="preserve">linea_pedido</t>
  </si>
  <si>
    <t xml:space="preserve">LineaPedido</t>
  </si>
  <si>
    <t xml:space="preserve">Cada lote o cantidad de gramos dentro de un pedido.</t>
  </si>
  <si>
    <t xml:space="preserve">carga</t>
  </si>
  <si>
    <t xml:space="preserve">Carga</t>
  </si>
  <si>
    <t xml:space="preserve">Carga masiva</t>
  </si>
  <si>
    <t xml:space="preserve">Registro de cada planilla o .zip subido. Sirve para auditar de dónde salió cada dato del catálogo.</t>
  </si>
  <si>
    <t xml:space="preserve">venta_mensual_categoria</t>
  </si>
  <si>
    <t xml:space="preserve">VentaMensualCategoria</t>
  </si>
  <si>
    <t xml:space="preserve">Analítica</t>
  </si>
  <si>
    <t xml:space="preserve">Unidades y monto vendidos por categoría y mes. Es la entrada de los modelos.</t>
  </si>
  <si>
    <t xml:space="preserve">pronostico_categoria</t>
  </si>
  <si>
    <t xml:space="preserve">PronosticoCategoria</t>
  </si>
  <si>
    <t xml:space="preserve">Resultado del pronóstico. Lo calcula una tarea programada; la API solo lo lee.</t>
  </si>
  <si>
    <t xml:space="preserve">segmento_comprador</t>
  </si>
  <si>
    <t xml:space="preserve">SegmentoComprador</t>
  </si>
  <si>
    <t xml:space="preserve">Segmento de cada comprador según recencia, frecuencia y monto.</t>
  </si>
  <si>
    <t xml:space="preserve">sugerencia_descuento</t>
  </si>
  <si>
    <t xml:space="preserve">SugerenciaDescuento</t>
  </si>
  <si>
    <t xml:space="preserve">Descuentos sugeridos por reglas de negocio. El vendedor aprueba; nada se aplica solo.</t>
  </si>
  <si>
    <t xml:space="preserve">configuracion_agenda</t>
  </si>
  <si>
    <t xml:space="preserve">ConfiguracionAgenda</t>
  </si>
  <si>
    <t xml:space="preserve">Agenda de visitas</t>
  </si>
  <si>
    <t xml:space="preserve">Reglas de la agenda de cada tienda. Congelada hasta que el cliente la confirme.</t>
  </si>
  <si>
    <t xml:space="preserve">bloque_horario</t>
  </si>
  <si>
    <t xml:space="preserve">BloqueHorario</t>
  </si>
  <si>
    <t xml:space="preserve">Bloques de atención, semanales o de una fecha puntual.</t>
  </si>
  <si>
    <t xml:space="preserve">dia_bloqueado</t>
  </si>
  <si>
    <t xml:space="preserve">DiaBloqueado</t>
  </si>
  <si>
    <t xml:space="preserve">Días sin atención: feriados, vacaciones.</t>
  </si>
  <si>
    <t xml:space="preserve">visita</t>
  </si>
  <si>
    <t xml:space="preserve">Visita</t>
  </si>
  <si>
    <t xml:space="preserve">Hora de visita pedida por un comprador.</t>
  </si>
  <si>
    <t xml:space="preserve">envio_correo</t>
  </si>
  <si>
    <t xml:space="preserve">EnvioCorreo</t>
  </si>
  <si>
    <t xml:space="preserve">Correos de la agenda. Un fallo de envío no pierde la visita: se reintenta.</t>
  </si>
  <si>
    <t xml:space="preserve">Total campos</t>
  </si>
  <si>
    <t xml:space="preserve">Tablas por estado</t>
  </si>
  <si>
    <t xml:space="preserve">Campo</t>
  </si>
  <si>
    <t xml:space="preserve">Tipo PostgreSQL</t>
  </si>
  <si>
    <t xml:space="preserve">Tipo Django</t>
  </si>
  <si>
    <t xml:space="preserve">Nulo</t>
  </si>
  <si>
    <t xml:space="preserve">Clave</t>
  </si>
  <si>
    <t xml:space="preserve">Referencia · al borrar</t>
  </si>
  <si>
    <t xml:space="preserve">Valor por defecto</t>
  </si>
  <si>
    <t xml:space="preserve">Reglas y valores permitidos</t>
  </si>
  <si>
    <t xml:space="preserve">id</t>
  </si>
  <si>
    <t xml:space="preserve">bigint</t>
  </si>
  <si>
    <t xml:space="preserve">BigAutoField</t>
  </si>
  <si>
    <t xml:space="preserve">No</t>
  </si>
  <si>
    <t xml:space="preserve">Autoincremental</t>
  </si>
  <si>
    <t xml:space="preserve">Identificador interno.</t>
  </si>
  <si>
    <t xml:space="preserve">slug</t>
  </si>
  <si>
    <t xml:space="preserve">varchar(60)</t>
  </si>
  <si>
    <t xml:space="preserve">SlugField</t>
  </si>
  <si>
    <t xml:space="preserve">Único. Solo minúsculas, números y guiones.</t>
  </si>
  <si>
    <t xml:space="preserve">Identificador público; va en la ruta /t/&lt;slug&gt;/.</t>
  </si>
  <si>
    <t xml:space="preserve">nombre</t>
  </si>
  <si>
    <t xml:space="preserve">varchar(120)</t>
  </si>
  <si>
    <t xml:space="preserve">CharField</t>
  </si>
  <si>
    <t xml:space="preserve">Nombre comercial de la tienda.</t>
  </si>
  <si>
    <t xml:space="preserve">activa</t>
  </si>
  <si>
    <t xml:space="preserve">boolean</t>
  </si>
  <si>
    <t xml:space="preserve">BooleanField</t>
  </si>
  <si>
    <t xml:space="preserve">true</t>
  </si>
  <si>
    <t xml:space="preserve">Una tienda inactiva no se muestra al público.</t>
  </si>
  <si>
    <t xml:space="preserve">logo</t>
  </si>
  <si>
    <t xml:space="preserve">varchar(100)</t>
  </si>
  <si>
    <t xml:space="preserve">ImageField</t>
  </si>
  <si>
    <t xml:space="preserve">Sí</t>
  </si>
  <si>
    <t xml:space="preserve">Archivo en Cloudflare R2; se guarda solo la clave.</t>
  </si>
  <si>
    <t xml:space="preserve">Logo de la tienda.</t>
  </si>
  <si>
    <t xml:space="preserve">banner</t>
  </si>
  <si>
    <t xml:space="preserve">Imagen de portada de la tienda.</t>
  </si>
  <si>
    <t xml:space="preserve">color_primario</t>
  </si>
  <si>
    <t xml:space="preserve">varchar(7)</t>
  </si>
  <si>
    <t xml:space="preserve">Sí (vacío)</t>
  </si>
  <si>
    <t xml:space="preserve">Formato hexadecimal #RRGGBB, validado. Nunca CSS libre.</t>
  </si>
  <si>
    <t xml:space="preserve">Color principal de la tienda.</t>
  </si>
  <si>
    <t xml:space="preserve">color_primario_hover</t>
  </si>
  <si>
    <t xml:space="preserve">Formato hexadecimal #RRGGBB, validado.</t>
  </si>
  <si>
    <t xml:space="preserve">Color principal al pasar el mouse.</t>
  </si>
  <si>
    <t xml:space="preserve">color_acento</t>
  </si>
  <si>
    <t xml:space="preserve">Color de acento.</t>
  </si>
  <si>
    <t xml:space="preserve">color_destacado</t>
  </si>
  <si>
    <t xml:space="preserve">Color para destacados.</t>
  </si>
  <si>
    <t xml:space="preserve">whatsapp</t>
  </si>
  <si>
    <t xml:space="preserve">varchar(200)</t>
  </si>
  <si>
    <t xml:space="preserve">URLField</t>
  </si>
  <si>
    <t xml:space="preserve">URL válida.</t>
  </si>
  <si>
    <t xml:space="preserve">Enlace de WhatsApp de la tienda.</t>
  </si>
  <si>
    <t xml:space="preserve">instagram</t>
  </si>
  <si>
    <t xml:space="preserve">Enlace de Instagram de la tienda.</t>
  </si>
  <si>
    <t xml:space="preserve">fecha_creacion</t>
  </si>
  <si>
    <t xml:space="preserve">timestamp with time zone</t>
  </si>
  <si>
    <t xml:space="preserve">DateTimeField(auto_now_add)</t>
  </si>
  <si>
    <t xml:space="preserve">Ahora</t>
  </si>
  <si>
    <t xml:space="preserve">Fecha de alta de la tienda.</t>
  </si>
  <si>
    <t xml:space="preserve">email</t>
  </si>
  <si>
    <t xml:space="preserve">varchar(254)</t>
  </si>
  <si>
    <t xml:space="preserve">EmailField</t>
  </si>
  <si>
    <t xml:space="preserve">Se guarda en minúsculas. Es el nombre de usuario.</t>
  </si>
  <si>
    <t xml:space="preserve">Correo de la cuenta.</t>
  </si>
  <si>
    <t xml:space="preserve">password</t>
  </si>
  <si>
    <t xml:space="preserve">varchar(128)</t>
  </si>
  <si>
    <t xml:space="preserve">CharField (Django)</t>
  </si>
  <si>
    <t xml:space="preserve">Hash; nunca la contraseña en texto plano.</t>
  </si>
  <si>
    <t xml:space="preserve">Contraseña cifrada.</t>
  </si>
  <si>
    <t xml:space="preserve">varchar(150)</t>
  </si>
  <si>
    <t xml:space="preserve">Nombre de la persona.</t>
  </si>
  <si>
    <t xml:space="preserve">rut</t>
  </si>
  <si>
    <t xml:space="preserve">varchar(12)</t>
  </si>
  <si>
    <t xml:space="preserve">Formato 12345678-5, sin puntos; dígito verificador validado.</t>
  </si>
  <si>
    <t xml:space="preserve">RUT chileno, opcional.</t>
  </si>
  <si>
    <t xml:space="preserve">rol</t>
  </si>
  <si>
    <t xml:space="preserve">varchar(20)</t>
  </si>
  <si>
    <t xml:space="preserve">CharField(choices)</t>
  </si>
  <si>
    <t xml:space="preserve">admin_plataforma | dueno_tienda | vendedor | comprador</t>
  </si>
  <si>
    <t xml:space="preserve">Rol de la cuenta.</t>
  </si>
  <si>
    <t xml:space="preserve">tienda_id</t>
  </si>
  <si>
    <t xml:space="preserve">ForeignKey(Tienda)</t>
  </si>
  <si>
    <t xml:space="preserve">tienda.id · PROTECT</t>
  </si>
  <si>
    <t xml:space="preserve">CHECK: obligatorio para dueno_tienda y vendedor; nulo para admin_plataforma y comprador.</t>
  </si>
  <si>
    <t xml:space="preserve">Tienda donde trabaja la persona.</t>
  </si>
  <si>
    <t xml:space="preserve">is_active</t>
  </si>
  <si>
    <t xml:space="preserve">Cuenta habilitada.</t>
  </si>
  <si>
    <t xml:space="preserve">is_staff</t>
  </si>
  <si>
    <t xml:space="preserve">false</t>
  </si>
  <si>
    <t xml:space="preserve">Puede entrar al panel de administración de Django.</t>
  </si>
  <si>
    <t xml:space="preserve">is_superuser</t>
  </si>
  <si>
    <t xml:space="preserve">BooleanField (Django)</t>
  </si>
  <si>
    <t xml:space="preserve">Tiene todos los permisos de Django.</t>
  </si>
  <si>
    <t xml:space="preserve">last_login</t>
  </si>
  <si>
    <t xml:space="preserve">DateTimeField (Django)</t>
  </si>
  <si>
    <t xml:space="preserve">Último inicio de sesión.</t>
  </si>
  <si>
    <t xml:space="preserve">fecha_registro</t>
  </si>
  <si>
    <t xml:space="preserve">Fecha de creación de la cuenta.</t>
  </si>
  <si>
    <t xml:space="preserve">negocio</t>
  </si>
  <si>
    <t xml:space="preserve">Nombre del negocio.</t>
  </si>
  <si>
    <t xml:space="preserve">Nombre de contacto.</t>
  </si>
  <si>
    <t xml:space="preserve">Se guarda en minúsculas.</t>
  </si>
  <si>
    <t xml:space="preserve">Correo de contacto.</t>
  </si>
  <si>
    <t xml:space="preserve">telefono</t>
  </si>
  <si>
    <t xml:space="preserve">varchar(30)</t>
  </si>
  <si>
    <t xml:space="preserve">Teléfono o WhatsApp.</t>
  </si>
  <si>
    <t xml:space="preserve">mensaje</t>
  </si>
  <si>
    <t xml:space="preserve">text</t>
  </si>
  <si>
    <t xml:space="preserve">TextField</t>
  </si>
  <si>
    <t xml:space="preserve">Qué vende el negocio.</t>
  </si>
  <si>
    <t xml:space="preserve">estado</t>
  </si>
  <si>
    <t xml:space="preserve">nueva</t>
  </si>
  <si>
    <t xml:space="preserve">nueva | contactada | activada | descartada</t>
  </si>
  <si>
    <t xml:space="preserve">Seguimiento de la solicitud.</t>
  </si>
  <si>
    <t xml:space="preserve">notas</t>
  </si>
  <si>
    <t xml:space="preserve">Uso interno.</t>
  </si>
  <si>
    <t xml:space="preserve">Notas del administrador de la plataforma.</t>
  </si>
  <si>
    <t xml:space="preserve">Fecha de la solicitud.</t>
  </si>
  <si>
    <t xml:space="preserve">tienda.id · CASCADE</t>
  </si>
  <si>
    <t xml:space="preserve">Se toma del token del usuario, nunca del cuerpo de la petición.</t>
  </si>
  <si>
    <t xml:space="preserve">Tienda a la que pertenece la fila. Raíz del aislamiento entre tiendas.</t>
  </si>
  <si>
    <t xml:space="preserve">comprador_id</t>
  </si>
  <si>
    <t xml:space="preserve">ForeignKey(Usuario)</t>
  </si>
  <si>
    <t xml:space="preserve">usuario.id · CASCADE</t>
  </si>
  <si>
    <t xml:space="preserve">Debe ser un usuario con rol comprador.</t>
  </si>
  <si>
    <t xml:space="preserve">Comprador evaluado.</t>
  </si>
  <si>
    <t xml:space="preserve">sin_solicitar</t>
  </si>
  <si>
    <t xml:space="preserve">sin_solicitar | pendiente | aprobado | rechazado</t>
  </si>
  <si>
    <t xml:space="preserve">Estado de la aprobación.</t>
  </si>
  <si>
    <t xml:space="preserve">fecha_resolucion</t>
  </si>
  <si>
    <t xml:space="preserve">DateTimeField</t>
  </si>
  <si>
    <t xml:space="preserve">Cuándo se aprobó o rechazó.</t>
  </si>
  <si>
    <t xml:space="preserve">resuelta_por_id</t>
  </si>
  <si>
    <t xml:space="preserve">usuario.id · SET NULL</t>
  </si>
  <si>
    <t xml:space="preserve">Usuario de la tienda que resolvió.</t>
  </si>
  <si>
    <t xml:space="preserve">Se guarda en UTC.</t>
  </si>
  <si>
    <t xml:space="preserve">Fecha de creación de la fila.</t>
  </si>
  <si>
    <t xml:space="preserve">fecha_edicion</t>
  </si>
  <si>
    <t xml:space="preserve">DateTimeField(auto_now)</t>
  </si>
  <si>
    <t xml:space="preserve">Fecha de la última modificación.</t>
  </si>
  <si>
    <t xml:space="preserve">UNIQUE (tienda, nombre).</t>
  </si>
  <si>
    <t xml:space="preserve">Ej.: anillos, aros, cadenas, pulseras, colgantes.</t>
  </si>
  <si>
    <t xml:space="preserve">codigo</t>
  </si>
  <si>
    <t xml:space="preserve">varchar(40)</t>
  </si>
  <si>
    <t xml:space="preserve">UNIQUE (tienda, codigo). Clave de la carga masiva.</t>
  </si>
  <si>
    <t xml:space="preserve">Código del lote definido por la tienda.</t>
  </si>
  <si>
    <t xml:space="preserve">Nombre visible del lote.</t>
  </si>
  <si>
    <t xml:space="preserve">precio_neto</t>
  </si>
  <si>
    <t xml:space="preserve">integer</t>
  </si>
  <si>
    <t xml:space="preserve">PositiveIntegerField</t>
  </si>
  <si>
    <t xml:space="preserve">Pesos chilenos, entero, sin IVA.</t>
  </si>
  <si>
    <t xml:space="preserve">Precio del lote.</t>
  </si>
  <si>
    <t xml:space="preserve">tipo_cupo</t>
  </si>
  <si>
    <t xml:space="preserve">varchar(10)</t>
  </si>
  <si>
    <t xml:space="preserve">MULTIPLE</t>
  </si>
  <si>
    <t xml:space="preserve">MULTIPLE | UNICO</t>
  </si>
  <si>
    <t xml:space="preserve">Si el lote se puede volver a vender.</t>
  </si>
  <si>
    <t xml:space="preserve">cupos_totales</t>
  </si>
  <si>
    <t xml:space="preserve">1</t>
  </si>
  <si>
    <t xml:space="preserve">CHECK: si tipo_cupo = UNICO, vale 1.</t>
  </si>
  <si>
    <t xml:space="preserve">Cuántas veces se puede vender.</t>
  </si>
  <si>
    <t xml:space="preserve">cupos_disponibles</t>
  </si>
  <si>
    <t xml:space="preserve">CHECK: 0 ≤ cupos_disponibles ≤ cupos_totales. Se descuenta con bloqueo de fila al confirmar.</t>
  </si>
  <si>
    <t xml:space="preserve">Cupos que quedan.</t>
  </si>
  <si>
    <t xml:space="preserve">cantidad_piezas</t>
  </si>
  <si>
    <t xml:space="preserve">Debe igualar la suma de composicion_lote.cantidad.</t>
  </si>
  <si>
    <t xml:space="preserve">Total de piezas del lote.</t>
  </si>
  <si>
    <t xml:space="preserve">material</t>
  </si>
  <si>
    <t xml:space="preserve">Ej.: acero, plata, enchape de plata, fantasía.</t>
  </si>
  <si>
    <t xml:space="preserve">Material predominante.</t>
  </si>
  <si>
    <t xml:space="preserve">foto</t>
  </si>
  <si>
    <t xml:space="preserve">varchar(255)</t>
  </si>
  <si>
    <t xml:space="preserve">Clave del objeto en R2; el nombre lo genera el sistema.</t>
  </si>
  <si>
    <t xml:space="preserve">Foto del lote.</t>
  </si>
  <si>
    <t xml:space="preserve">activo</t>
  </si>
  <si>
    <t xml:space="preserve">La carga masiva nunca borra: desactiva.</t>
  </si>
  <si>
    <t xml:space="preserve">Si se muestra en la tienda.</t>
  </si>
  <si>
    <t xml:space="preserve">lote_id</t>
  </si>
  <si>
    <t xml:space="preserve">ForeignKey(Lote)</t>
  </si>
  <si>
    <t xml:space="preserve">lote.id · CASCADE</t>
  </si>
  <si>
    <t xml:space="preserve">UNIQUE (lote, categoria).</t>
  </si>
  <si>
    <t xml:space="preserve">Lote al que pertenece.</t>
  </si>
  <si>
    <t xml:space="preserve">categoria_id</t>
  </si>
  <si>
    <t xml:space="preserve">ForeignKey(Categoria)</t>
  </si>
  <si>
    <t xml:space="preserve">categoria.id · PROTECT</t>
  </si>
  <si>
    <t xml:space="preserve">Debe ser de la misma tienda que el lote.</t>
  </si>
  <si>
    <t xml:space="preserve">Categoría de las piezas.</t>
  </si>
  <si>
    <t xml:space="preserve">cantidad</t>
  </si>
  <si>
    <t xml:space="preserve">Mayor que 0.</t>
  </si>
  <si>
    <t xml:space="preserve">Piezas de esa categoría.</t>
  </si>
  <si>
    <t xml:space="preserve">UNIQUE (tienda, codigo).</t>
  </si>
  <si>
    <t xml:space="preserve">Código de la línea.</t>
  </si>
  <si>
    <t xml:space="preserve">Ej.: Gramo de hombre.</t>
  </si>
  <si>
    <t xml:space="preserve">Ej.: enchape de plata, plata colombiana.</t>
  </si>
  <si>
    <t xml:space="preserve">categorias</t>
  </si>
  <si>
    <t xml:space="preserve">Texto descriptivo.</t>
  </si>
  <si>
    <t xml:space="preserve">Ej.: cadenas, pulseras.</t>
  </si>
  <si>
    <t xml:space="preserve">disponible</t>
  </si>
  <si>
    <t xml:space="preserve">Si se puede comprar.</t>
  </si>
  <si>
    <t xml:space="preserve">Clave del objeto en R2.</t>
  </si>
  <si>
    <t xml:space="preserve">Foto de referencia.</t>
  </si>
  <si>
    <t xml:space="preserve">linea_granel_id</t>
  </si>
  <si>
    <t xml:space="preserve">ForeignKey(LineaGranel)</t>
  </si>
  <si>
    <t xml:space="preserve">linea_granel.id · CASCADE</t>
  </si>
  <si>
    <t xml:space="preserve">Nulo = tramo de descuento por cantidad de lotes.</t>
  </si>
  <si>
    <t xml:space="preserve">Línea a la que aplica.</t>
  </si>
  <si>
    <t xml:space="preserve">unidad_umbral</t>
  </si>
  <si>
    <t xml:space="preserve">pesos | gramos | lotes</t>
  </si>
  <si>
    <t xml:space="preserve">En qué se mide el umbral.</t>
  </si>
  <si>
    <t xml:space="preserve">umbral</t>
  </si>
  <si>
    <t xml:space="preserve">numeric(12,2)</t>
  </si>
  <si>
    <t xml:space="preserve">DecimalField</t>
  </si>
  <si>
    <t xml:space="preserve">Inclusivo (&gt;=). UNIQUE (linea, unidad, umbral).</t>
  </si>
  <si>
    <t xml:space="preserve">Desde qué cantidad aplica.</t>
  </si>
  <si>
    <t xml:space="preserve">valor</t>
  </si>
  <si>
    <t xml:space="preserve">Granel: precio por gramo neto. Lotes: % de descuento.</t>
  </si>
  <si>
    <t xml:space="preserve">Precio o descuento del tramo.</t>
  </si>
  <si>
    <t xml:space="preserve">usuario.id · PROTECT</t>
  </si>
  <si>
    <t xml:space="preserve">Rol comprador.</t>
  </si>
  <si>
    <t xml:space="preserve">Quién hizo el pedido.</t>
  </si>
  <si>
    <t xml:space="preserve">numero</t>
  </si>
  <si>
    <t xml:space="preserve">UNIQUE (tienda, numero).</t>
  </si>
  <si>
    <t xml:space="preserve">Número correlativo visible.</t>
  </si>
  <si>
    <t xml:space="preserve">borrador</t>
  </si>
  <si>
    <t xml:space="preserve">borrador → confirmado → preparacion → entregado; anulado desde cualquiera menos entregado.</t>
  </si>
  <si>
    <t xml:space="preserve">Estado del pedido.</t>
  </si>
  <si>
    <t xml:space="preserve">neto</t>
  </si>
  <si>
    <t xml:space="preserve">0</t>
  </si>
  <si>
    <t xml:space="preserve">Lo recalcula el backend; nunca se usa el del navegador.</t>
  </si>
  <si>
    <t xml:space="preserve">Suma de los netos de las líneas.</t>
  </si>
  <si>
    <t xml:space="preserve">iva</t>
  </si>
  <si>
    <t xml:space="preserve">19%, redondeo medio hacia arriba con Decimal.</t>
  </si>
  <si>
    <t xml:space="preserve">IVA del pedido.</t>
  </si>
  <si>
    <t xml:space="preserve">total</t>
  </si>
  <si>
    <t xml:space="preserve">neto + iva.</t>
  </si>
  <si>
    <t xml:space="preserve">Total del pedido.</t>
  </si>
  <si>
    <t xml:space="preserve">confirmado_en</t>
  </si>
  <si>
    <t xml:space="preserve">Cuándo se confirmó.</t>
  </si>
  <si>
    <t xml:space="preserve">vence_en</t>
  </si>
  <si>
    <t xml:space="preserve">Plazo pendiente de definir con el cliente.</t>
  </si>
  <si>
    <t xml:space="preserve">Si no se paga antes, se liberan los cupos.</t>
  </si>
  <si>
    <t xml:space="preserve">pedido_id</t>
  </si>
  <si>
    <t xml:space="preserve">ForeignKey(Pedido)</t>
  </si>
  <si>
    <t xml:space="preserve">pedido.id · CASCADE</t>
  </si>
  <si>
    <t xml:space="preserve">Pedido al que pertenece.</t>
  </si>
  <si>
    <t xml:space="preserve">lote.id · PROTECT</t>
  </si>
  <si>
    <t xml:space="preserve">CHECK: exactamente uno de lote_id o linea_granel_id.</t>
  </si>
  <si>
    <t xml:space="preserve">Lote comprado.</t>
  </si>
  <si>
    <t xml:space="preserve">linea_granel.id · PROTECT</t>
  </si>
  <si>
    <t xml:space="preserve">Línea de granel comprada.</t>
  </si>
  <si>
    <t xml:space="preserve">numeric(10,2)</t>
  </si>
  <si>
    <t xml:space="preserve">Lotes (entero) o gramos (decimal).</t>
  </si>
  <si>
    <t xml:space="preserve">Cantidad comprada.</t>
  </si>
  <si>
    <t xml:space="preserve">precio_unitario_neto</t>
  </si>
  <si>
    <t xml:space="preserve">Copiado al confirmar: un cambio de precio posterior no altera el pedido.</t>
  </si>
  <si>
    <t xml:space="preserve">Precio aplicado según el tramo.</t>
  </si>
  <si>
    <t xml:space="preserve">Granel: truncar(gramos × precio por gramo).</t>
  </si>
  <si>
    <t xml:space="preserve">Subtotal neto de la línea.</t>
  </si>
  <si>
    <t xml:space="preserve">usuario_id</t>
  </si>
  <si>
    <t xml:space="preserve">Quién subió el archivo.</t>
  </si>
  <si>
    <t xml:space="preserve">tipo</t>
  </si>
  <si>
    <t xml:space="preserve">lotes | granel | fotos</t>
  </si>
  <si>
    <t xml:space="preserve">Qué se cargó.</t>
  </si>
  <si>
    <t xml:space="preserve">archivo_original</t>
  </si>
  <si>
    <t xml:space="preserve">Clave en R2. Solo .xlsx, .csv o .zip; validado por contenido.</t>
  </si>
  <si>
    <t xml:space="preserve">Archivo subido.</t>
  </si>
  <si>
    <t xml:space="preserve">validada</t>
  </si>
  <si>
    <t xml:space="preserve">validada | confirmada | descartada</t>
  </si>
  <si>
    <t xml:space="preserve">Nada se escribe en el catálogo hasta confirmar.</t>
  </si>
  <si>
    <t xml:space="preserve">creadas</t>
  </si>
  <si>
    <t xml:space="preserve">Filas nuevas.</t>
  </si>
  <si>
    <t xml:space="preserve">actualizadas</t>
  </si>
  <si>
    <t xml:space="preserve">Filas que actualizaron un registro existente.</t>
  </si>
  <si>
    <t xml:space="preserve">rechazadas</t>
  </si>
  <si>
    <t xml:space="preserve">Filas con error.</t>
  </si>
  <si>
    <t xml:space="preserve">errores</t>
  </si>
  <si>
    <t xml:space="preserve">jsonb</t>
  </si>
  <si>
    <t xml:space="preserve">JSONField</t>
  </si>
  <si>
    <t xml:space="preserve">Lista de {fila, motivo}.</t>
  </si>
  <si>
    <t xml:space="preserve">Detalle de los rechazos.</t>
  </si>
  <si>
    <t xml:space="preserve">Categoría.</t>
  </si>
  <si>
    <t xml:space="preserve">mes</t>
  </si>
  <si>
    <t xml:space="preserve">date</t>
  </si>
  <si>
    <t xml:space="preserve">DateField</t>
  </si>
  <si>
    <t xml:space="preserve">Primer día del mes. UNIQUE (tienda, categoria, mes, origen).</t>
  </si>
  <si>
    <t xml:space="preserve">Mes de la venta.</t>
  </si>
  <si>
    <t xml:space="preserve">unidades</t>
  </si>
  <si>
    <t xml:space="preserve">Unidades vendidas.</t>
  </si>
  <si>
    <t xml:space="preserve">monto_neto</t>
  </si>
  <si>
    <t xml:space="preserve">Pesos netos.</t>
  </si>
  <si>
    <t xml:space="preserve">Monto vendido.</t>
  </si>
  <si>
    <t xml:space="preserve">origen</t>
  </si>
  <si>
    <t xml:space="preserve">real | sintetico</t>
  </si>
  <si>
    <t xml:space="preserve">Los sintéticos se rotulan en la interfaz.</t>
  </si>
  <si>
    <t xml:space="preserve">categoria.id · CASCADE</t>
  </si>
  <si>
    <t xml:space="preserve">Categoría pronosticada.</t>
  </si>
  <si>
    <t xml:space="preserve">Primer día del mes pronosticado.</t>
  </si>
  <si>
    <t xml:space="preserve">Mes futuro.</t>
  </si>
  <si>
    <t xml:space="preserve">demanda_estimada</t>
  </si>
  <si>
    <t xml:space="preserve">Regresión (predict), nunca predict_proba.</t>
  </si>
  <si>
    <t xml:space="preserve">Unidades estimadas.</t>
  </si>
  <si>
    <t xml:space="preserve">modelo</t>
  </si>
  <si>
    <t xml:space="preserve">Ej.: promedio_movil, xgboost.</t>
  </si>
  <si>
    <t xml:space="preserve">Modelo usado.</t>
  </si>
  <si>
    <t xml:space="preserve">version</t>
  </si>
  <si>
    <t xml:space="preserve">Versión del modelo.</t>
  </si>
  <si>
    <t xml:space="preserve">datos_sinteticos</t>
  </si>
  <si>
    <t xml:space="preserve">Si es true, la interfaz rotula "datos de ejemplo".</t>
  </si>
  <si>
    <t xml:space="preserve">Si se entrenó con datos sintéticos.</t>
  </si>
  <si>
    <t xml:space="preserve">calculado_en</t>
  </si>
  <si>
    <t xml:space="preserve">Cuándo se calculó.</t>
  </si>
  <si>
    <t xml:space="preserve">Comprador segmentado.</t>
  </si>
  <si>
    <t xml:space="preserve">recencia_dias</t>
  </si>
  <si>
    <t xml:space="preserve">Días desde la última compra.</t>
  </si>
  <si>
    <t xml:space="preserve">frecuencia</t>
  </si>
  <si>
    <t xml:space="preserve">Compras en el período.</t>
  </si>
  <si>
    <t xml:space="preserve">monto</t>
  </si>
  <si>
    <t xml:space="preserve">Monto comprado en el período.</t>
  </si>
  <si>
    <t xml:space="preserve">segmento</t>
  </si>
  <si>
    <t xml:space="preserve">Nombre del segmento asignado.</t>
  </si>
  <si>
    <t xml:space="preserve">prob_abandono</t>
  </si>
  <si>
    <t xml:space="preserve">numeric(5,4)</t>
  </si>
  <si>
    <t xml:space="preserve">Entre 0 y 1.</t>
  </si>
  <si>
    <t xml:space="preserve">Probabilidad de dejar de comprar.</t>
  </si>
  <si>
    <t xml:space="preserve">Lote al que aplica.</t>
  </si>
  <si>
    <t xml:space="preserve">porcentaje</t>
  </si>
  <si>
    <t xml:space="preserve">PositiveSmallIntegerField</t>
  </si>
  <si>
    <t xml:space="preserve">Entre 1 y 100.</t>
  </si>
  <si>
    <t xml:space="preserve">Descuento sugerido.</t>
  </si>
  <si>
    <t xml:space="preserve">motivo</t>
  </si>
  <si>
    <t xml:space="preserve">Por qué se sugiere (ej.: días en catálogo).</t>
  </si>
  <si>
    <t xml:space="preserve">pendiente</t>
  </si>
  <si>
    <t xml:space="preserve">pendiente | aprobada | rechazada</t>
  </si>
  <si>
    <t xml:space="preserve">Decisión del vendedor.</t>
  </si>
  <si>
    <t xml:space="preserve">Quién la resolvió.</t>
  </si>
  <si>
    <t xml:space="preserve">duracion_minutos</t>
  </si>
  <si>
    <t xml:space="preserve">smallint</t>
  </si>
  <si>
    <t xml:space="preserve">30</t>
  </si>
  <si>
    <t xml:space="preserve">Duración de cada visita.</t>
  </si>
  <si>
    <t xml:space="preserve">visitas_por_bloque</t>
  </si>
  <si>
    <t xml:space="preserve">Visitas simultáneas por bloque.</t>
  </si>
  <si>
    <t xml:space="preserve">anticipacion_minima_horas</t>
  </si>
  <si>
    <t xml:space="preserve">24</t>
  </si>
  <si>
    <t xml:space="preserve">Anticipación mínima para pedir hora.</t>
  </si>
  <si>
    <t xml:space="preserve">ventana_maxima_dias</t>
  </si>
  <si>
    <t xml:space="preserve">Hasta cuántos días adelante se puede agendar.</t>
  </si>
  <si>
    <t xml:space="preserve">confirmacion_automatica</t>
  </si>
  <si>
    <t xml:space="preserve">Si se confirma sola o la aprueba el dueño.</t>
  </si>
  <si>
    <t xml:space="preserve">direccion</t>
  </si>
  <si>
    <t xml:space="preserve">varchar(250)</t>
  </si>
  <si>
    <t xml:space="preserve">Dirección de la oficina.</t>
  </si>
  <si>
    <t xml:space="preserve">indicaciones</t>
  </si>
  <si>
    <t xml:space="preserve">Cómo llegar.</t>
  </si>
  <si>
    <t xml:space="preserve">correo_notificaciones</t>
  </si>
  <si>
    <t xml:space="preserve">Correo del dueño para avisos.</t>
  </si>
  <si>
    <t xml:space="preserve">token_feed</t>
  </si>
  <si>
    <t xml:space="preserve">varchar(64)</t>
  </si>
  <si>
    <t xml:space="preserve">Aleatorio</t>
  </si>
  <si>
    <t xml:space="preserve">Generado con secrets; se puede regenerar.</t>
  </si>
  <si>
    <t xml:space="preserve">Token del calendario suscrito del dueño.</t>
  </si>
  <si>
    <t xml:space="preserve">varchar(80)</t>
  </si>
  <si>
    <t xml:space="preserve">Nombre del bloque.</t>
  </si>
  <si>
    <t xml:space="preserve">dia_semana</t>
  </si>
  <si>
    <t xml:space="preserve">IntegerField(choices)</t>
  </si>
  <si>
    <t xml:space="preserve">0 = lunes … 6 = domingo. UNIQUE (tienda, dia_semana, hora_inicio).</t>
  </si>
  <si>
    <t xml:space="preserve">Día del bloque semanal.</t>
  </si>
  <si>
    <t xml:space="preserve">fecha</t>
  </si>
  <si>
    <t xml:space="preserve">UNIQUE (tienda, fecha, hora_inicio).</t>
  </si>
  <si>
    <t xml:space="preserve">Fecha del bloque puntual.</t>
  </si>
  <si>
    <t xml:space="preserve">hora_inicio</t>
  </si>
  <si>
    <t xml:space="preserve">time</t>
  </si>
  <si>
    <t xml:space="preserve">TimeField</t>
  </si>
  <si>
    <t xml:space="preserve">Hora de inicio.</t>
  </si>
  <si>
    <t xml:space="preserve">hora_fin</t>
  </si>
  <si>
    <t xml:space="preserve">Hora de término.</t>
  </si>
  <si>
    <t xml:space="preserve">Nulo = usa la configuración.</t>
  </si>
  <si>
    <t xml:space="preserve">Duración propia del bloque.</t>
  </si>
  <si>
    <t xml:space="preserve">visitas_simultaneas</t>
  </si>
  <si>
    <t xml:space="preserve">Capacidad propia del bloque.</t>
  </si>
  <si>
    <t xml:space="preserve">Confirmación propia del bloque.</t>
  </si>
  <si>
    <t xml:space="preserve">UNIQUE (tienda, fecha).</t>
  </si>
  <si>
    <t xml:space="preserve">Día bloqueado.</t>
  </si>
  <si>
    <t xml:space="preserve">Motivo.</t>
  </si>
  <si>
    <t xml:space="preserve">uid</t>
  </si>
  <si>
    <t xml:space="preserve">uuid</t>
  </si>
  <si>
    <t xml:space="preserve">UUIDField</t>
  </si>
  <si>
    <t xml:space="preserve">Estable: hace que el .ics reemplace el evento en vez de duplicarlo.</t>
  </si>
  <si>
    <t xml:space="preserve">UID del evento de calendario.</t>
  </si>
  <si>
    <t xml:space="preserve">Comprador que pidió la hora.</t>
  </si>
  <si>
    <t xml:space="preserve">inicio</t>
  </si>
  <si>
    <t xml:space="preserve">UNIQUE (tienda, inicio, posicion).</t>
  </si>
  <si>
    <t xml:space="preserve">Inicio de la visita.</t>
  </si>
  <si>
    <t xml:space="preserve">fin</t>
  </si>
  <si>
    <t xml:space="preserve">Término de la visita.</t>
  </si>
  <si>
    <t xml:space="preserve">posicion</t>
  </si>
  <si>
    <t xml:space="preserve">Lugar dentro del bloque cuando hay varias visitas a la vez.</t>
  </si>
  <si>
    <t xml:space="preserve">solicitada</t>
  </si>
  <si>
    <t xml:space="preserve">solicitada | confirmada | asistida | no_asistio | rechazada | cancelada</t>
  </si>
  <si>
    <t xml:space="preserve">Estado de la visita.</t>
  </si>
  <si>
    <t xml:space="preserve">nombre_contacto</t>
  </si>
  <si>
    <t xml:space="preserve">Nombre de quien visita.</t>
  </si>
  <si>
    <t xml:space="preserve">correo_contacto</t>
  </si>
  <si>
    <t xml:space="preserve">Correo de quien visita.</t>
  </si>
  <si>
    <t xml:space="preserve">telefono_contacto</t>
  </si>
  <si>
    <t xml:space="preserve">Teléfono de quien visita.</t>
  </si>
  <si>
    <t xml:space="preserve">Qué quiere ver.</t>
  </si>
  <si>
    <t xml:space="preserve">motivo_rechazo</t>
  </si>
  <si>
    <t xml:space="preserve">Por qué se rechazó.</t>
  </si>
  <si>
    <t xml:space="preserve">secuencia</t>
  </si>
  <si>
    <t xml:space="preserve">Sube con cada cambio.</t>
  </si>
  <si>
    <t xml:space="preserve">SEQUENCE del archivo .ics.</t>
  </si>
  <si>
    <t xml:space="preserve">recordatorio_enviado_en</t>
  </si>
  <si>
    <t xml:space="preserve">Cuándo se envió el recordatorio.</t>
  </si>
  <si>
    <t xml:space="preserve">visita_id</t>
  </si>
  <si>
    <t xml:space="preserve">ForeignKey(Visita)</t>
  </si>
  <si>
    <t xml:space="preserve">visita.id · CASCADE</t>
  </si>
  <si>
    <t xml:space="preserve">Visita relacionada.</t>
  </si>
  <si>
    <t xml:space="preserve">solicitud_recibida | solicitud_nueva | confirmada | rechazada | reprogramada | cancelada | recordatorio</t>
  </si>
  <si>
    <t xml:space="preserve">Tipo de correo.</t>
  </si>
  <si>
    <t xml:space="preserve">destinatario</t>
  </si>
  <si>
    <t xml:space="preserve">A quién se envía.</t>
  </si>
  <si>
    <t xml:space="preserve">pendiente | enviado | fallido</t>
  </si>
  <si>
    <t xml:space="preserve">Estado del envío.</t>
  </si>
  <si>
    <t xml:space="preserve">intentos</t>
  </si>
  <si>
    <t xml:space="preserve">Intentos realizados.</t>
  </si>
  <si>
    <t xml:space="preserve">ultimo_error</t>
  </si>
  <si>
    <t xml:space="preserve">Error del último intento.</t>
  </si>
  <si>
    <t xml:space="preserve">enviado_en</t>
  </si>
  <si>
    <t xml:space="preserve">Cuándo se envió.</t>
  </si>
  <si>
    <t xml:space="preserve">Tipo</t>
  </si>
  <si>
    <t xml:space="preserve">Definición</t>
  </si>
  <si>
    <t xml:space="preserve">Para qué sirve</t>
  </si>
  <si>
    <t xml:space="preserve">CHECK</t>
  </si>
  <si>
    <t xml:space="preserve">rol ∈ (dueno_tienda, vendedor) ⇒ tienda_id no nulo; rol ∈ (admin_plataforma, comprador) ⇒ tienda_id nulo</t>
  </si>
  <si>
    <t xml:space="preserve">Que nadie trabaje en una tienda sin pertenecer a ella, ni un comprador quede atado a una.</t>
  </si>
  <si>
    <t xml:space="preserve">UNIQUE</t>
  </si>
  <si>
    <t xml:space="preserve">(tienda_id, comprador_id)</t>
  </si>
  <si>
    <t xml:space="preserve">Un estado por comprador en cada tienda.</t>
  </si>
  <si>
    <t xml:space="preserve">(tienda_id, nombre)</t>
  </si>
  <si>
    <t xml:space="preserve">Sin categorías repetidas en una tienda.</t>
  </si>
  <si>
    <t xml:space="preserve">(tienda_id, codigo)</t>
  </si>
  <si>
    <t xml:space="preserve">Que la carga masiva actualice en vez de duplicar.</t>
  </si>
  <si>
    <t xml:space="preserve">0 ≤ cupos_disponibles ≤ cupos_totales</t>
  </si>
  <si>
    <t xml:space="preserve">Nunca vender más cupos de los que existen.</t>
  </si>
  <si>
    <t xml:space="preserve">tipo_cupo = UNICO ⇒ cupos_totales = 1</t>
  </si>
  <si>
    <t xml:space="preserve">Un cupo único se vende una sola vez.</t>
  </si>
  <si>
    <t xml:space="preserve">VALIDACIÓN</t>
  </si>
  <si>
    <t xml:space="preserve">cantidad_piezas = suma de composicion_lote.cantidad</t>
  </si>
  <si>
    <t xml:space="preserve">La composición cuadra con el total de piezas (se valida al guardar).</t>
  </si>
  <si>
    <t xml:space="preserve">(lote_id, categoria_id)</t>
  </si>
  <si>
    <t xml:space="preserve">Una fila por categoría en cada lote.</t>
  </si>
  <si>
    <t xml:space="preserve">(linea_granel_id, unidad_umbral, umbral)</t>
  </si>
  <si>
    <t xml:space="preserve">Sin tramos repetidos en una misma lista.</t>
  </si>
  <si>
    <t xml:space="preserve">(tienda_id, numero)</t>
  </si>
  <si>
    <t xml:space="preserve">Número de pedido correlativo por tienda.</t>
  </si>
  <si>
    <t xml:space="preserve">TRANSICIÓN</t>
  </si>
  <si>
    <t xml:space="preserve">borrador → confirmado → preparacion → entregado; anulado desde cualquiera menos entregado</t>
  </si>
  <si>
    <t xml:space="preserve">Estados válidos definidos en un solo lugar del modelo.</t>
  </si>
  <si>
    <t xml:space="preserve">exactamente uno de lote_id o linea_granel_id</t>
  </si>
  <si>
    <t xml:space="preserve">Cada línea es un lote o una compra a granel, nunca ambas.</t>
  </si>
  <si>
    <t xml:space="preserve">(tienda_id, categoria_id, mes, origen)</t>
  </si>
  <si>
    <t xml:space="preserve">Un registro por categoría, mes y origen de los datos.</t>
  </si>
  <si>
    <t xml:space="preserve">(tienda_id)</t>
  </si>
  <si>
    <t xml:space="preserve">Una configuración por tienda.</t>
  </si>
  <si>
    <t xml:space="preserve">(tienda_id, dia_semana, hora_inicio) y (tienda_id, fecha, hora_inicio)</t>
  </si>
  <si>
    <t xml:space="preserve">Sin bloques duplicados.</t>
  </si>
  <si>
    <t xml:space="preserve">(tienda_id, fecha)</t>
  </si>
  <si>
    <t xml:space="preserve">Un bloqueo por día.</t>
  </si>
  <si>
    <t xml:space="preserve">(tienda_id, inicio, posicion)</t>
  </si>
  <si>
    <t xml:space="preserve">Dos compradores no pueden tomar el mismo lugar en el mismo horario.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</si>
</sst>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5202B"/>
      <name val="Arial"/>
      <family val="0"/>
      <charset val="1"/>
    </font>
    <font>
      <sz val="10"/>
      <color rgb="FF4A5764"/>
      <name val="Arial"/>
      <family val="0"/>
      <charset val="1"/>
    </font>
    <font>
      <b val="true"/>
      <sz val="11"/>
      <color rgb="FF0B6464"/>
      <name val="Arial"/>
      <family val="0"/>
      <charset val="1"/>
    </font>
    <font>
      <sz val="10"/>
      <color rgb="FF15202B"/>
      <name val="Arial"/>
      <family val="0"/>
      <charset val="1"/>
    </font>
    <font>
      <b val="true"/>
      <sz val="10"/>
      <color rgb="FF1520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.5"/>
      <color rgb="FF15202B"/>
      <name val="Arial"/>
      <family val="0"/>
      <charset val="1"/>
    </font>
    <font>
      <b val="true"/>
      <sz val="9.5"/>
      <color rgb="FF15202B"/>
      <name val="Arial"/>
      <family val="0"/>
      <charset val="1"/>
    </font>
    <font>
      <b val="true"/>
      <sz val="9.5"/>
      <color rgb="FFB8901F"/>
      <name val="Arial"/>
      <family val="0"/>
      <charset val="1"/>
    </font>
    <font>
      <b val="true"/>
      <sz val="9.5"/>
      <color rgb="FF6E5DC6"/>
      <name val="Arial"/>
      <family val="0"/>
      <charset val="1"/>
    </font>
    <font>
      <b val="true"/>
      <sz val="9.5"/>
      <color rgb="FF0C5FC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3F1EF"/>
        <bgColor rgb="FFECEFF7"/>
      </patternFill>
    </fill>
    <fill>
      <patternFill patternType="solid">
        <fgColor rgb="FFECEFF7"/>
        <bgColor rgb="FFEEEFF1"/>
      </patternFill>
    </fill>
    <fill>
      <patternFill patternType="solid">
        <fgColor rgb="FFFBF3DE"/>
        <bgColor rgb="FFEEEFF1"/>
      </patternFill>
    </fill>
    <fill>
      <patternFill patternType="solid">
        <fgColor rgb="FFEEEFF1"/>
        <bgColor rgb="FFECEFF7"/>
      </patternFill>
    </fill>
    <fill>
      <patternFill patternType="solid">
        <fgColor rgb="FF0B6464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D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B64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5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1EF"/>
          <bgColor rgb="FF000000"/>
        </patternFill>
      </fill>
    </dxf>
    <dxf>
      <fill>
        <patternFill patternType="solid">
          <fgColor rgb="FFECEFF7"/>
          <bgColor rgb="FF000000"/>
        </patternFill>
      </fill>
    </dxf>
    <dxf>
      <fill>
        <patternFill patternType="solid">
          <fgColor rgb="FFEEEFF1"/>
          <bgColor rgb="FF000000"/>
        </patternFill>
      </fill>
    </dxf>
    <dxf>
      <fill>
        <patternFill patternType="solid">
          <fgColor rgb="FFFBF3DE"/>
          <bgColor rgb="FF000000"/>
        </patternFill>
      </fill>
    </dxf>
    <dxf>
      <fill>
        <patternFill patternType="solid">
          <fgColor rgb="FF0C5FCF"/>
          <bgColor rgb="FF000000"/>
        </patternFill>
      </fill>
    </dxf>
    <dxf>
      <fill>
        <patternFill patternType="solid">
          <fgColor rgb="FF6E5DC6"/>
          <bgColor rgb="FF000000"/>
        </patternFill>
      </fill>
    </dxf>
    <dxf>
      <fill>
        <patternFill patternType="solid">
          <fgColor rgb="FFB890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901F"/>
      <rgbColor rgb="FF800080"/>
      <rgbColor rgb="FF0B6464"/>
      <rgbColor rgb="FFC0C0C0"/>
      <rgbColor rgb="FF808080"/>
      <rgbColor rgb="FF9999FF"/>
      <rgbColor rgb="FF993366"/>
      <rgbColor rgb="FFFBF3DE"/>
      <rgbColor rgb="FFE3F1EF"/>
      <rgbColor rgb="FF660066"/>
      <rgbColor rgb="FFFF8080"/>
      <rgbColor rgb="FF0C5FCF"/>
      <rgbColor rgb="FFD6DD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7"/>
      <rgbColor rgb="FFEEEFF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5DC6"/>
      <rgbColor rgb="FF969696"/>
      <rgbColor rgb="FF003366"/>
      <rgbColor rgb="FF339966"/>
      <rgbColor rgb="FF003300"/>
      <rgbColor rgb="FF333300"/>
      <rgbColor rgb="FF993300"/>
      <rgbColor rgb="FF993366"/>
      <rgbColor rgb="FF4A5764"/>
      <rgbColor rgb="FF1520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iccionario" displayName="Diccionario" ref="A1:N220" headerRowCount="1" totalsRowCount="0" totalsRowShown="0">
  <autoFilter ref="A1:N220"/>
  <tableColumns count="14">
    <tableColumn id="1" name="Tabla"/>
    <tableColumn id="2" name="Modelo Django"/>
    <tableColumn id="3" name="Grupo"/>
    <tableColumn id="4" name="Estado"/>
    <tableColumn id="5" name="N°"/>
    <tableColumn id="6" name="Campo"/>
    <tableColumn id="7" name="Tipo PostgreSQL"/>
    <tableColumn id="8" name="Tipo Django"/>
    <tableColumn id="9" name="Nulo"/>
    <tableColumn id="10" name="Clave"/>
    <tableColumn id="11" name="Referencia · al borrar"/>
    <tableColumn id="12" name="Valor por defecto"/>
    <tableColumn id="13" name="Reglas y valores permitidos"/>
    <tableColumn id="14" name="Descripció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3" t="s">
        <v>9</v>
      </c>
      <c r="B9" s="4"/>
    </row>
    <row r="10" customFormat="false" ht="15" hidden="false" customHeight="false" outlineLevel="0" collapsed="false">
      <c r="A10" s="6" t="s">
        <v>10</v>
      </c>
      <c r="B10" s="4" t="s">
        <v>11</v>
      </c>
    </row>
    <row r="11" customFormat="false" ht="15" hidden="false" customHeight="false" outlineLevel="0" collapsed="false">
      <c r="A11" s="7" t="s">
        <v>12</v>
      </c>
      <c r="B11" s="4" t="s">
        <v>13</v>
      </c>
    </row>
    <row r="12" customFormat="false" ht="15" hidden="false" customHeight="false" outlineLevel="0" collapsed="false">
      <c r="A12" s="8" t="s">
        <v>14</v>
      </c>
      <c r="B12" s="4" t="s">
        <v>15</v>
      </c>
    </row>
    <row r="13" customFormat="false" ht="15" hidden="false" customHeight="false" outlineLevel="0" collapsed="false">
      <c r="A13" s="9" t="s">
        <v>16</v>
      </c>
      <c r="B13" s="4" t="s">
        <v>17</v>
      </c>
    </row>
    <row r="14" customFormat="false" ht="15" hidden="false" customHeight="false" outlineLevel="0" collapsed="false">
      <c r="A14" s="3"/>
      <c r="B14" s="4"/>
    </row>
    <row r="15" customFormat="false" ht="15" hidden="false" customHeight="false" outlineLevel="0" collapsed="false">
      <c r="A15" s="3" t="s">
        <v>18</v>
      </c>
      <c r="B15" s="4"/>
    </row>
    <row r="16" customFormat="false" ht="15" hidden="false" customHeight="false" outlineLevel="0" collapsed="false">
      <c r="A16" s="10" t="s">
        <v>19</v>
      </c>
      <c r="B16" s="4" t="s">
        <v>20</v>
      </c>
    </row>
    <row r="17" customFormat="false" ht="15" hidden="false" customHeight="false" outlineLevel="0" collapsed="false">
      <c r="A17" s="10" t="s">
        <v>21</v>
      </c>
      <c r="B17" s="4" t="s">
        <v>22</v>
      </c>
    </row>
    <row r="18" customFormat="false" ht="15" hidden="false" customHeight="false" outlineLevel="0" collapsed="false">
      <c r="A18" s="10" t="s">
        <v>23</v>
      </c>
      <c r="B18" s="4" t="s">
        <v>24</v>
      </c>
    </row>
    <row r="19" customFormat="false" ht="15" hidden="false" customHeight="false" outlineLevel="0" collapsed="false">
      <c r="A19" s="3"/>
      <c r="B19" s="4"/>
    </row>
    <row r="20" customFormat="false" ht="15" hidden="false" customHeight="false" outlineLevel="0" collapsed="false">
      <c r="A20" s="3" t="s">
        <v>25</v>
      </c>
      <c r="B20" s="4"/>
    </row>
    <row r="21" customFormat="false" ht="23.85" hidden="false" customHeight="false" outlineLevel="0" collapsed="false">
      <c r="A21" s="5" t="s">
        <v>26</v>
      </c>
      <c r="B21" s="4" t="s">
        <v>27</v>
      </c>
    </row>
    <row r="22" customFormat="false" ht="15" hidden="false" customHeight="false" outlineLevel="0" collapsed="false">
      <c r="A22" s="5" t="s">
        <v>28</v>
      </c>
      <c r="B22" s="4" t="s">
        <v>29</v>
      </c>
    </row>
    <row r="23" customFormat="false" ht="15" hidden="false" customHeight="false" outlineLevel="0" collapsed="false">
      <c r="A23" s="5" t="s">
        <v>30</v>
      </c>
      <c r="B23" s="4" t="s">
        <v>31</v>
      </c>
    </row>
    <row r="24" customFormat="false" ht="15" hidden="false" customHeight="false" outlineLevel="0" collapsed="false">
      <c r="A24" s="5" t="s">
        <v>32</v>
      </c>
      <c r="B24" s="4" t="s">
        <v>33</v>
      </c>
    </row>
    <row r="25" customFormat="false" ht="15" hidden="false" customHeight="false" outlineLevel="0" collapsed="false">
      <c r="A25" s="5" t="s">
        <v>34</v>
      </c>
      <c r="B25" s="4" t="s">
        <v>35</v>
      </c>
    </row>
    <row r="26" customFormat="false" ht="15" hidden="false" customHeight="false" outlineLevel="0" collapsed="false">
      <c r="A26" s="5" t="s">
        <v>36</v>
      </c>
      <c r="B26" s="4" t="s">
        <v>37</v>
      </c>
    </row>
    <row r="27" customFormat="false" ht="15" hidden="false" customHeight="false" outlineLevel="0" collapsed="false">
      <c r="A27" s="5" t="s">
        <v>38</v>
      </c>
      <c r="B27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90"/>
  </cols>
  <sheetData>
    <row r="1" customFormat="false" ht="24" hidden="false" customHeight="true" outlineLevel="0" collapsed="false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</row>
    <row r="2" customFormat="false" ht="15" hidden="false" customHeight="false" outlineLevel="0" collapsed="false">
      <c r="A2" s="12" t="n">
        <v>1</v>
      </c>
      <c r="B2" s="12" t="s">
        <v>47</v>
      </c>
      <c r="C2" s="12" t="s">
        <v>48</v>
      </c>
      <c r="D2" s="12" t="s">
        <v>49</v>
      </c>
      <c r="E2" s="13" t="s">
        <v>10</v>
      </c>
      <c r="F2" s="12" t="n">
        <f aca="false">COUNTIF(Diccionario!$A$2:$A$220,B2)</f>
        <v>13</v>
      </c>
      <c r="G2" s="14" t="s">
        <v>50</v>
      </c>
    </row>
    <row r="3" customFormat="false" ht="15" hidden="false" customHeight="false" outlineLevel="0" collapsed="false">
      <c r="A3" s="12" t="n">
        <v>2</v>
      </c>
      <c r="B3" s="12" t="s">
        <v>51</v>
      </c>
      <c r="C3" s="12" t="s">
        <v>52</v>
      </c>
      <c r="D3" s="12" t="s">
        <v>49</v>
      </c>
      <c r="E3" s="13" t="s">
        <v>10</v>
      </c>
      <c r="F3" s="12" t="n">
        <f aca="false">COUNTIF(Diccionario!$A$2:$A$220,B3)</f>
        <v>12</v>
      </c>
      <c r="G3" s="14" t="s">
        <v>53</v>
      </c>
    </row>
    <row r="4" customFormat="false" ht="23.85" hidden="false" customHeight="false" outlineLevel="0" collapsed="false">
      <c r="A4" s="12" t="n">
        <v>3</v>
      </c>
      <c r="B4" s="12" t="s">
        <v>54</v>
      </c>
      <c r="C4" s="12" t="s">
        <v>55</v>
      </c>
      <c r="D4" s="12" t="s">
        <v>49</v>
      </c>
      <c r="E4" s="13" t="s">
        <v>10</v>
      </c>
      <c r="F4" s="12" t="n">
        <f aca="false">COUNTIF(Diccionario!$A$2:$A$220,B4)</f>
        <v>9</v>
      </c>
      <c r="G4" s="14" t="s">
        <v>56</v>
      </c>
    </row>
    <row r="5" customFormat="false" ht="23.85" hidden="false" customHeight="false" outlineLevel="0" collapsed="false">
      <c r="A5" s="12" t="n">
        <v>4</v>
      </c>
      <c r="B5" s="12" t="s">
        <v>57</v>
      </c>
      <c r="C5" s="12" t="s">
        <v>58</v>
      </c>
      <c r="D5" s="12" t="s">
        <v>49</v>
      </c>
      <c r="E5" s="15" t="s">
        <v>14</v>
      </c>
      <c r="F5" s="12" t="n">
        <f aca="false">COUNTIF(Diccionario!$A$2:$A$220,B5)</f>
        <v>8</v>
      </c>
      <c r="G5" s="14" t="s">
        <v>59</v>
      </c>
    </row>
    <row r="6" customFormat="false" ht="15" hidden="false" customHeight="false" outlineLevel="0" collapsed="false">
      <c r="A6" s="12" t="n">
        <v>5</v>
      </c>
      <c r="B6" s="12" t="s">
        <v>60</v>
      </c>
      <c r="C6" s="12" t="s">
        <v>61</v>
      </c>
      <c r="D6" s="12" t="s">
        <v>62</v>
      </c>
      <c r="E6" s="16" t="s">
        <v>12</v>
      </c>
      <c r="F6" s="12" t="n">
        <f aca="false">COUNTIF(Diccionario!$A$2:$A$220,B6)</f>
        <v>5</v>
      </c>
      <c r="G6" s="14" t="s">
        <v>63</v>
      </c>
    </row>
    <row r="7" customFormat="false" ht="15" hidden="false" customHeight="false" outlineLevel="0" collapsed="false">
      <c r="A7" s="12" t="n">
        <v>6</v>
      </c>
      <c r="B7" s="12" t="s">
        <v>64</v>
      </c>
      <c r="C7" s="12" t="s">
        <v>65</v>
      </c>
      <c r="D7" s="12" t="s">
        <v>62</v>
      </c>
      <c r="E7" s="16" t="s">
        <v>12</v>
      </c>
      <c r="F7" s="12" t="n">
        <f aca="false">COUNTIF(Diccionario!$A$2:$A$220,B7)</f>
        <v>14</v>
      </c>
      <c r="G7" s="14" t="s">
        <v>66</v>
      </c>
    </row>
    <row r="8" customFormat="false" ht="15" hidden="false" customHeight="false" outlineLevel="0" collapsed="false">
      <c r="A8" s="12" t="n">
        <v>7</v>
      </c>
      <c r="B8" s="12" t="s">
        <v>67</v>
      </c>
      <c r="C8" s="12" t="s">
        <v>68</v>
      </c>
      <c r="D8" s="12" t="s">
        <v>62</v>
      </c>
      <c r="E8" s="16" t="s">
        <v>12</v>
      </c>
      <c r="F8" s="12" t="n">
        <f aca="false">COUNTIF(Diccionario!$A$2:$A$220,B8)</f>
        <v>7</v>
      </c>
      <c r="G8" s="14" t="s">
        <v>69</v>
      </c>
    </row>
    <row r="9" customFormat="false" ht="15" hidden="false" customHeight="false" outlineLevel="0" collapsed="false">
      <c r="A9" s="12" t="n">
        <v>8</v>
      </c>
      <c r="B9" s="12" t="s">
        <v>70</v>
      </c>
      <c r="C9" s="12" t="s">
        <v>71</v>
      </c>
      <c r="D9" s="12" t="s">
        <v>62</v>
      </c>
      <c r="E9" s="16" t="s">
        <v>12</v>
      </c>
      <c r="F9" s="12" t="n">
        <f aca="false">COUNTIF(Diccionario!$A$2:$A$220,B9)</f>
        <v>10</v>
      </c>
      <c r="G9" s="14" t="s">
        <v>72</v>
      </c>
    </row>
    <row r="10" customFormat="false" ht="15" hidden="false" customHeight="false" outlineLevel="0" collapsed="false">
      <c r="A10" s="12" t="n">
        <v>9</v>
      </c>
      <c r="B10" s="12" t="s">
        <v>73</v>
      </c>
      <c r="C10" s="12" t="s">
        <v>74</v>
      </c>
      <c r="D10" s="12" t="s">
        <v>62</v>
      </c>
      <c r="E10" s="16" t="s">
        <v>12</v>
      </c>
      <c r="F10" s="12" t="n">
        <f aca="false">COUNTIF(Diccionario!$A$2:$A$220,B10)</f>
        <v>8</v>
      </c>
      <c r="G10" s="14" t="s">
        <v>75</v>
      </c>
    </row>
    <row r="11" customFormat="false" ht="15" hidden="false" customHeight="false" outlineLevel="0" collapsed="false">
      <c r="A11" s="12" t="n">
        <v>10</v>
      </c>
      <c r="B11" s="12" t="s">
        <v>76</v>
      </c>
      <c r="C11" s="12" t="s">
        <v>77</v>
      </c>
      <c r="D11" s="12" t="s">
        <v>78</v>
      </c>
      <c r="E11" s="16" t="s">
        <v>12</v>
      </c>
      <c r="F11" s="12" t="n">
        <f aca="false">COUNTIF(Diccionario!$A$2:$A$220,B11)</f>
        <v>12</v>
      </c>
      <c r="G11" s="14" t="s">
        <v>79</v>
      </c>
    </row>
    <row r="12" customFormat="false" ht="15" hidden="false" customHeight="false" outlineLevel="0" collapsed="false">
      <c r="A12" s="12" t="n">
        <v>11</v>
      </c>
      <c r="B12" s="12" t="s">
        <v>80</v>
      </c>
      <c r="C12" s="12" t="s">
        <v>81</v>
      </c>
      <c r="D12" s="12" t="s">
        <v>78</v>
      </c>
      <c r="E12" s="16" t="s">
        <v>12</v>
      </c>
      <c r="F12" s="12" t="n">
        <f aca="false">COUNTIF(Diccionario!$A$2:$A$220,B12)</f>
        <v>10</v>
      </c>
      <c r="G12" s="14" t="s">
        <v>82</v>
      </c>
    </row>
    <row r="13" customFormat="false" ht="15" hidden="false" customHeight="false" outlineLevel="0" collapsed="false">
      <c r="A13" s="12" t="n">
        <v>12</v>
      </c>
      <c r="B13" s="12" t="s">
        <v>83</v>
      </c>
      <c r="C13" s="12" t="s">
        <v>84</v>
      </c>
      <c r="D13" s="12" t="s">
        <v>85</v>
      </c>
      <c r="E13" s="16" t="s">
        <v>12</v>
      </c>
      <c r="F13" s="12" t="n">
        <f aca="false">COUNTIF(Diccionario!$A$2:$A$220,B13)</f>
        <v>12</v>
      </c>
      <c r="G13" s="14" t="s">
        <v>86</v>
      </c>
    </row>
    <row r="14" customFormat="false" ht="15" hidden="false" customHeight="false" outlineLevel="0" collapsed="false">
      <c r="A14" s="12" t="n">
        <v>13</v>
      </c>
      <c r="B14" s="12" t="s">
        <v>87</v>
      </c>
      <c r="C14" s="12" t="s">
        <v>88</v>
      </c>
      <c r="D14" s="12" t="s">
        <v>89</v>
      </c>
      <c r="E14" s="16" t="s">
        <v>12</v>
      </c>
      <c r="F14" s="12" t="n">
        <f aca="false">COUNTIF(Diccionario!$A$2:$A$220,B14)</f>
        <v>9</v>
      </c>
      <c r="G14" s="14" t="s">
        <v>90</v>
      </c>
    </row>
    <row r="15" customFormat="false" ht="15" hidden="false" customHeight="false" outlineLevel="0" collapsed="false">
      <c r="A15" s="12" t="n">
        <v>14</v>
      </c>
      <c r="B15" s="12" t="s">
        <v>91</v>
      </c>
      <c r="C15" s="12" t="s">
        <v>92</v>
      </c>
      <c r="D15" s="12" t="s">
        <v>89</v>
      </c>
      <c r="E15" s="16" t="s">
        <v>12</v>
      </c>
      <c r="F15" s="12" t="n">
        <f aca="false">COUNTIF(Diccionario!$A$2:$A$220,B15)</f>
        <v>11</v>
      </c>
      <c r="G15" s="14" t="s">
        <v>93</v>
      </c>
    </row>
    <row r="16" customFormat="false" ht="15" hidden="false" customHeight="false" outlineLevel="0" collapsed="false">
      <c r="A16" s="12" t="n">
        <v>15</v>
      </c>
      <c r="B16" s="12" t="s">
        <v>94</v>
      </c>
      <c r="C16" s="12" t="s">
        <v>95</v>
      </c>
      <c r="D16" s="12" t="s">
        <v>89</v>
      </c>
      <c r="E16" s="16" t="s">
        <v>12</v>
      </c>
      <c r="F16" s="12" t="n">
        <f aca="false">COUNTIF(Diccionario!$A$2:$A$220,B16)</f>
        <v>11</v>
      </c>
      <c r="G16" s="14" t="s">
        <v>96</v>
      </c>
    </row>
    <row r="17" customFormat="false" ht="15" hidden="false" customHeight="false" outlineLevel="0" collapsed="false">
      <c r="A17" s="12" t="n">
        <v>16</v>
      </c>
      <c r="B17" s="12" t="s">
        <v>97</v>
      </c>
      <c r="C17" s="12" t="s">
        <v>98</v>
      </c>
      <c r="D17" s="12" t="s">
        <v>89</v>
      </c>
      <c r="E17" s="16" t="s">
        <v>12</v>
      </c>
      <c r="F17" s="12" t="n">
        <f aca="false">COUNTIF(Diccionario!$A$2:$A$220,B17)</f>
        <v>9</v>
      </c>
      <c r="G17" s="14" t="s">
        <v>99</v>
      </c>
    </row>
    <row r="18" customFormat="false" ht="15" hidden="false" customHeight="false" outlineLevel="0" collapsed="false">
      <c r="A18" s="12" t="n">
        <v>17</v>
      </c>
      <c r="B18" s="12" t="s">
        <v>100</v>
      </c>
      <c r="C18" s="12" t="s">
        <v>101</v>
      </c>
      <c r="D18" s="12" t="s">
        <v>102</v>
      </c>
      <c r="E18" s="17" t="s">
        <v>16</v>
      </c>
      <c r="F18" s="12" t="n">
        <f aca="false">COUNTIF(Diccionario!$A$2:$A$220,B18)</f>
        <v>13</v>
      </c>
      <c r="G18" s="14" t="s">
        <v>103</v>
      </c>
    </row>
    <row r="19" customFormat="false" ht="15" hidden="false" customHeight="false" outlineLevel="0" collapsed="false">
      <c r="A19" s="12" t="n">
        <v>18</v>
      </c>
      <c r="B19" s="12" t="s">
        <v>104</v>
      </c>
      <c r="C19" s="12" t="s">
        <v>105</v>
      </c>
      <c r="D19" s="12" t="s">
        <v>102</v>
      </c>
      <c r="E19" s="17" t="s">
        <v>16</v>
      </c>
      <c r="F19" s="12" t="n">
        <f aca="false">COUNTIF(Diccionario!$A$2:$A$220,B19)</f>
        <v>12</v>
      </c>
      <c r="G19" s="14" t="s">
        <v>106</v>
      </c>
    </row>
    <row r="20" customFormat="false" ht="15" hidden="false" customHeight="false" outlineLevel="0" collapsed="false">
      <c r="A20" s="12" t="n">
        <v>19</v>
      </c>
      <c r="B20" s="12" t="s">
        <v>107</v>
      </c>
      <c r="C20" s="12" t="s">
        <v>108</v>
      </c>
      <c r="D20" s="12" t="s">
        <v>102</v>
      </c>
      <c r="E20" s="17" t="s">
        <v>16</v>
      </c>
      <c r="F20" s="12" t="n">
        <f aca="false">COUNTIF(Diccionario!$A$2:$A$220,B20)</f>
        <v>6</v>
      </c>
      <c r="G20" s="14" t="s">
        <v>109</v>
      </c>
    </row>
    <row r="21" customFormat="false" ht="15" hidden="false" customHeight="false" outlineLevel="0" collapsed="false">
      <c r="A21" s="12" t="n">
        <v>20</v>
      </c>
      <c r="B21" s="12" t="s">
        <v>110</v>
      </c>
      <c r="C21" s="12" t="s">
        <v>111</v>
      </c>
      <c r="D21" s="12" t="s">
        <v>102</v>
      </c>
      <c r="E21" s="17" t="s">
        <v>16</v>
      </c>
      <c r="F21" s="12" t="n">
        <f aca="false">COUNTIF(Diccionario!$A$2:$A$220,B21)</f>
        <v>17</v>
      </c>
      <c r="G21" s="14" t="s">
        <v>112</v>
      </c>
    </row>
    <row r="22" customFormat="false" ht="15" hidden="false" customHeight="false" outlineLevel="0" collapsed="false">
      <c r="A22" s="12" t="n">
        <v>21</v>
      </c>
      <c r="B22" s="12" t="s">
        <v>113</v>
      </c>
      <c r="C22" s="12" t="s">
        <v>114</v>
      </c>
      <c r="D22" s="12" t="s">
        <v>102</v>
      </c>
      <c r="E22" s="17" t="s">
        <v>16</v>
      </c>
      <c r="F22" s="12" t="n">
        <f aca="false">COUNTIF(Diccionario!$A$2:$A$220,B22)</f>
        <v>11</v>
      </c>
      <c r="G22" s="14" t="s">
        <v>115</v>
      </c>
    </row>
    <row r="23" customFormat="false" ht="15" hidden="false" customHeight="false" outlineLevel="0" collapsed="false">
      <c r="E23" s="18" t="s">
        <v>116</v>
      </c>
      <c r="F23" s="18" t="n">
        <f aca="false">SUM(F2:F22)</f>
        <v>219</v>
      </c>
    </row>
    <row r="25" customFormat="false" ht="15" hidden="false" customHeight="false" outlineLevel="0" collapsed="false">
      <c r="D25" s="18" t="s">
        <v>117</v>
      </c>
      <c r="E25" s="19" t="s">
        <v>10</v>
      </c>
      <c r="F25" s="20" t="n">
        <f aca="false">COUNTIF(E2:E22,E25)</f>
        <v>3</v>
      </c>
    </row>
    <row r="26" customFormat="false" ht="15" hidden="false" customHeight="false" outlineLevel="0" collapsed="false">
      <c r="E26" s="21" t="s">
        <v>12</v>
      </c>
      <c r="F26" s="20" t="n">
        <f aca="false">COUNTIF(E2:E22,E26)</f>
        <v>12</v>
      </c>
    </row>
    <row r="27" customFormat="false" ht="15" hidden="false" customHeight="false" outlineLevel="0" collapsed="false">
      <c r="E27" s="22" t="s">
        <v>14</v>
      </c>
      <c r="F27" s="20" t="n">
        <f aca="false">COUNTIF(E2:E22,E27)</f>
        <v>1</v>
      </c>
    </row>
    <row r="28" customFormat="false" ht="15" hidden="false" customHeight="false" outlineLevel="0" collapsed="false">
      <c r="E28" s="23" t="s">
        <v>16</v>
      </c>
      <c r="F28" s="20" t="n">
        <f aca="false">COUNTIF(E2:E22,E28)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5"/>
    <col collapsed="false" customWidth="true" hidden="false" outlineLevel="0" max="7" min="6" style="0" width="24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52"/>
    <col collapsed="false" customWidth="true" hidden="false" outlineLevel="0" max="14" min="14" style="0" width="48"/>
  </cols>
  <sheetData>
    <row r="1" customFormat="false" ht="30" hidden="false" customHeight="true" outlineLevel="0" collapsed="false">
      <c r="A1" s="11" t="s">
        <v>41</v>
      </c>
      <c r="B1" s="11" t="s">
        <v>42</v>
      </c>
      <c r="C1" s="11" t="s">
        <v>43</v>
      </c>
      <c r="D1" s="11" t="s">
        <v>44</v>
      </c>
      <c r="E1" s="11" t="s">
        <v>40</v>
      </c>
      <c r="F1" s="11" t="s">
        <v>118</v>
      </c>
      <c r="G1" s="11" t="s">
        <v>119</v>
      </c>
      <c r="H1" s="11" t="s">
        <v>120</v>
      </c>
      <c r="I1" s="11" t="s">
        <v>121</v>
      </c>
      <c r="J1" s="11" t="s">
        <v>122</v>
      </c>
      <c r="K1" s="11" t="s">
        <v>123</v>
      </c>
      <c r="L1" s="11" t="s">
        <v>124</v>
      </c>
      <c r="M1" s="11" t="s">
        <v>125</v>
      </c>
      <c r="N1" s="11" t="s">
        <v>46</v>
      </c>
    </row>
    <row r="2" customFormat="false" ht="15" hidden="false" customHeight="false" outlineLevel="0" collapsed="false">
      <c r="A2" s="24" t="s">
        <v>47</v>
      </c>
      <c r="B2" s="24" t="s">
        <v>48</v>
      </c>
      <c r="C2" s="24" t="s">
        <v>49</v>
      </c>
      <c r="D2" s="25" t="s">
        <v>10</v>
      </c>
      <c r="E2" s="24" t="n">
        <v>1</v>
      </c>
      <c r="F2" s="26" t="s">
        <v>126</v>
      </c>
      <c r="G2" s="24" t="s">
        <v>127</v>
      </c>
      <c r="H2" s="24" t="s">
        <v>128</v>
      </c>
      <c r="I2" s="24" t="s">
        <v>129</v>
      </c>
      <c r="J2" s="27" t="s">
        <v>19</v>
      </c>
      <c r="K2" s="24"/>
      <c r="L2" s="24" t="s">
        <v>130</v>
      </c>
      <c r="M2" s="28"/>
      <c r="N2" s="28" t="s">
        <v>131</v>
      </c>
    </row>
    <row r="3" customFormat="false" ht="15" hidden="false" customHeight="false" outlineLevel="0" collapsed="false">
      <c r="A3" s="24" t="s">
        <v>47</v>
      </c>
      <c r="B3" s="24" t="s">
        <v>48</v>
      </c>
      <c r="C3" s="24" t="s">
        <v>49</v>
      </c>
      <c r="D3" s="25" t="s">
        <v>10</v>
      </c>
      <c r="E3" s="24" t="n">
        <v>2</v>
      </c>
      <c r="F3" s="24" t="s">
        <v>132</v>
      </c>
      <c r="G3" s="24" t="s">
        <v>133</v>
      </c>
      <c r="H3" s="24" t="s">
        <v>134</v>
      </c>
      <c r="I3" s="24" t="s">
        <v>129</v>
      </c>
      <c r="J3" s="29" t="s">
        <v>23</v>
      </c>
      <c r="K3" s="24"/>
      <c r="L3" s="24"/>
      <c r="M3" s="28" t="s">
        <v>135</v>
      </c>
      <c r="N3" s="28" t="s">
        <v>136</v>
      </c>
    </row>
    <row r="4" customFormat="false" ht="15" hidden="false" customHeight="false" outlineLevel="0" collapsed="false">
      <c r="A4" s="24" t="s">
        <v>47</v>
      </c>
      <c r="B4" s="24" t="s">
        <v>48</v>
      </c>
      <c r="C4" s="24" t="s">
        <v>49</v>
      </c>
      <c r="D4" s="25" t="s">
        <v>10</v>
      </c>
      <c r="E4" s="24" t="n">
        <v>3</v>
      </c>
      <c r="F4" s="24" t="s">
        <v>137</v>
      </c>
      <c r="G4" s="24" t="s">
        <v>138</v>
      </c>
      <c r="H4" s="24" t="s">
        <v>139</v>
      </c>
      <c r="I4" s="24" t="s">
        <v>129</v>
      </c>
      <c r="J4" s="24"/>
      <c r="K4" s="24"/>
      <c r="L4" s="24"/>
      <c r="M4" s="28"/>
      <c r="N4" s="28" t="s">
        <v>140</v>
      </c>
    </row>
    <row r="5" customFormat="false" ht="15" hidden="false" customHeight="false" outlineLevel="0" collapsed="false">
      <c r="A5" s="24" t="s">
        <v>47</v>
      </c>
      <c r="B5" s="24" t="s">
        <v>48</v>
      </c>
      <c r="C5" s="24" t="s">
        <v>49</v>
      </c>
      <c r="D5" s="25" t="s">
        <v>10</v>
      </c>
      <c r="E5" s="24" t="n">
        <v>4</v>
      </c>
      <c r="F5" s="24" t="s">
        <v>141</v>
      </c>
      <c r="G5" s="24" t="s">
        <v>142</v>
      </c>
      <c r="H5" s="24" t="s">
        <v>143</v>
      </c>
      <c r="I5" s="24" t="s">
        <v>129</v>
      </c>
      <c r="J5" s="24"/>
      <c r="K5" s="24"/>
      <c r="L5" s="24" t="s">
        <v>144</v>
      </c>
      <c r="M5" s="28"/>
      <c r="N5" s="28" t="s">
        <v>145</v>
      </c>
    </row>
    <row r="6" customFormat="false" ht="15" hidden="false" customHeight="false" outlineLevel="0" collapsed="false">
      <c r="A6" s="24" t="s">
        <v>47</v>
      </c>
      <c r="B6" s="24" t="s">
        <v>48</v>
      </c>
      <c r="C6" s="24" t="s">
        <v>49</v>
      </c>
      <c r="D6" s="25" t="s">
        <v>10</v>
      </c>
      <c r="E6" s="24" t="n">
        <v>5</v>
      </c>
      <c r="F6" s="24" t="s">
        <v>146</v>
      </c>
      <c r="G6" s="24" t="s">
        <v>147</v>
      </c>
      <c r="H6" s="24" t="s">
        <v>148</v>
      </c>
      <c r="I6" s="24" t="s">
        <v>149</v>
      </c>
      <c r="J6" s="24"/>
      <c r="K6" s="24"/>
      <c r="L6" s="24"/>
      <c r="M6" s="28" t="s">
        <v>150</v>
      </c>
      <c r="N6" s="28" t="s">
        <v>151</v>
      </c>
    </row>
    <row r="7" customFormat="false" ht="15" hidden="false" customHeight="false" outlineLevel="0" collapsed="false">
      <c r="A7" s="24" t="s">
        <v>47</v>
      </c>
      <c r="B7" s="24" t="s">
        <v>48</v>
      </c>
      <c r="C7" s="24" t="s">
        <v>49</v>
      </c>
      <c r="D7" s="25" t="s">
        <v>10</v>
      </c>
      <c r="E7" s="24" t="n">
        <v>6</v>
      </c>
      <c r="F7" s="24" t="s">
        <v>152</v>
      </c>
      <c r="G7" s="24" t="s">
        <v>147</v>
      </c>
      <c r="H7" s="24" t="s">
        <v>148</v>
      </c>
      <c r="I7" s="24" t="s">
        <v>149</v>
      </c>
      <c r="J7" s="24"/>
      <c r="K7" s="24"/>
      <c r="L7" s="24"/>
      <c r="M7" s="28" t="s">
        <v>150</v>
      </c>
      <c r="N7" s="28" t="s">
        <v>153</v>
      </c>
    </row>
    <row r="8" customFormat="false" ht="15" hidden="false" customHeight="false" outlineLevel="0" collapsed="false">
      <c r="A8" s="24" t="s">
        <v>47</v>
      </c>
      <c r="B8" s="24" t="s">
        <v>48</v>
      </c>
      <c r="C8" s="24" t="s">
        <v>49</v>
      </c>
      <c r="D8" s="25" t="s">
        <v>10</v>
      </c>
      <c r="E8" s="24" t="n">
        <v>7</v>
      </c>
      <c r="F8" s="24" t="s">
        <v>154</v>
      </c>
      <c r="G8" s="24" t="s">
        <v>155</v>
      </c>
      <c r="H8" s="24" t="s">
        <v>139</v>
      </c>
      <c r="I8" s="24" t="s">
        <v>156</v>
      </c>
      <c r="J8" s="24"/>
      <c r="K8" s="24"/>
      <c r="L8" s="24"/>
      <c r="M8" s="28" t="s">
        <v>157</v>
      </c>
      <c r="N8" s="28" t="s">
        <v>158</v>
      </c>
    </row>
    <row r="9" customFormat="false" ht="15" hidden="false" customHeight="false" outlineLevel="0" collapsed="false">
      <c r="A9" s="24" t="s">
        <v>47</v>
      </c>
      <c r="B9" s="24" t="s">
        <v>48</v>
      </c>
      <c r="C9" s="24" t="s">
        <v>49</v>
      </c>
      <c r="D9" s="25" t="s">
        <v>10</v>
      </c>
      <c r="E9" s="24" t="n">
        <v>8</v>
      </c>
      <c r="F9" s="24" t="s">
        <v>159</v>
      </c>
      <c r="G9" s="24" t="s">
        <v>155</v>
      </c>
      <c r="H9" s="24" t="s">
        <v>139</v>
      </c>
      <c r="I9" s="24" t="s">
        <v>156</v>
      </c>
      <c r="J9" s="24"/>
      <c r="K9" s="24"/>
      <c r="L9" s="24"/>
      <c r="M9" s="28" t="s">
        <v>160</v>
      </c>
      <c r="N9" s="28" t="s">
        <v>161</v>
      </c>
    </row>
    <row r="10" customFormat="false" ht="15" hidden="false" customHeight="false" outlineLevel="0" collapsed="false">
      <c r="A10" s="24" t="s">
        <v>47</v>
      </c>
      <c r="B10" s="24" t="s">
        <v>48</v>
      </c>
      <c r="C10" s="24" t="s">
        <v>49</v>
      </c>
      <c r="D10" s="25" t="s">
        <v>10</v>
      </c>
      <c r="E10" s="24" t="n">
        <v>9</v>
      </c>
      <c r="F10" s="24" t="s">
        <v>162</v>
      </c>
      <c r="G10" s="24" t="s">
        <v>155</v>
      </c>
      <c r="H10" s="24" t="s">
        <v>139</v>
      </c>
      <c r="I10" s="24" t="s">
        <v>156</v>
      </c>
      <c r="J10" s="24"/>
      <c r="K10" s="24"/>
      <c r="L10" s="24"/>
      <c r="M10" s="28" t="s">
        <v>160</v>
      </c>
      <c r="N10" s="28" t="s">
        <v>163</v>
      </c>
    </row>
    <row r="11" customFormat="false" ht="15" hidden="false" customHeight="false" outlineLevel="0" collapsed="false">
      <c r="A11" s="24" t="s">
        <v>47</v>
      </c>
      <c r="B11" s="24" t="s">
        <v>48</v>
      </c>
      <c r="C11" s="24" t="s">
        <v>49</v>
      </c>
      <c r="D11" s="25" t="s">
        <v>10</v>
      </c>
      <c r="E11" s="24" t="n">
        <v>10</v>
      </c>
      <c r="F11" s="24" t="s">
        <v>164</v>
      </c>
      <c r="G11" s="24" t="s">
        <v>155</v>
      </c>
      <c r="H11" s="24" t="s">
        <v>139</v>
      </c>
      <c r="I11" s="24" t="s">
        <v>156</v>
      </c>
      <c r="J11" s="24"/>
      <c r="K11" s="24"/>
      <c r="L11" s="24"/>
      <c r="M11" s="28" t="s">
        <v>160</v>
      </c>
      <c r="N11" s="28" t="s">
        <v>165</v>
      </c>
    </row>
    <row r="12" customFormat="false" ht="15" hidden="false" customHeight="false" outlineLevel="0" collapsed="false">
      <c r="A12" s="24" t="s">
        <v>47</v>
      </c>
      <c r="B12" s="24" t="s">
        <v>48</v>
      </c>
      <c r="C12" s="24" t="s">
        <v>49</v>
      </c>
      <c r="D12" s="25" t="s">
        <v>10</v>
      </c>
      <c r="E12" s="24" t="n">
        <v>11</v>
      </c>
      <c r="F12" s="24" t="s">
        <v>166</v>
      </c>
      <c r="G12" s="24" t="s">
        <v>167</v>
      </c>
      <c r="H12" s="24" t="s">
        <v>168</v>
      </c>
      <c r="I12" s="24" t="s">
        <v>156</v>
      </c>
      <c r="J12" s="24"/>
      <c r="K12" s="24"/>
      <c r="L12" s="24"/>
      <c r="M12" s="28" t="s">
        <v>169</v>
      </c>
      <c r="N12" s="28" t="s">
        <v>170</v>
      </c>
    </row>
    <row r="13" customFormat="false" ht="15" hidden="false" customHeight="false" outlineLevel="0" collapsed="false">
      <c r="A13" s="24" t="s">
        <v>47</v>
      </c>
      <c r="B13" s="24" t="s">
        <v>48</v>
      </c>
      <c r="C13" s="24" t="s">
        <v>49</v>
      </c>
      <c r="D13" s="25" t="s">
        <v>10</v>
      </c>
      <c r="E13" s="24" t="n">
        <v>12</v>
      </c>
      <c r="F13" s="24" t="s">
        <v>171</v>
      </c>
      <c r="G13" s="24" t="s">
        <v>167</v>
      </c>
      <c r="H13" s="24" t="s">
        <v>168</v>
      </c>
      <c r="I13" s="24" t="s">
        <v>156</v>
      </c>
      <c r="J13" s="24"/>
      <c r="K13" s="24"/>
      <c r="L13" s="24"/>
      <c r="M13" s="28" t="s">
        <v>169</v>
      </c>
      <c r="N13" s="28" t="s">
        <v>172</v>
      </c>
    </row>
    <row r="14" customFormat="false" ht="15" hidden="false" customHeight="false" outlineLevel="0" collapsed="false">
      <c r="A14" s="24" t="s">
        <v>47</v>
      </c>
      <c r="B14" s="24" t="s">
        <v>48</v>
      </c>
      <c r="C14" s="24" t="s">
        <v>49</v>
      </c>
      <c r="D14" s="25" t="s">
        <v>10</v>
      </c>
      <c r="E14" s="24" t="n">
        <v>13</v>
      </c>
      <c r="F14" s="24" t="s">
        <v>173</v>
      </c>
      <c r="G14" s="24" t="s">
        <v>174</v>
      </c>
      <c r="H14" s="24" t="s">
        <v>175</v>
      </c>
      <c r="I14" s="24" t="s">
        <v>129</v>
      </c>
      <c r="J14" s="24"/>
      <c r="K14" s="24"/>
      <c r="L14" s="24" t="s">
        <v>176</v>
      </c>
      <c r="M14" s="28"/>
      <c r="N14" s="28" t="s">
        <v>177</v>
      </c>
    </row>
    <row r="15" customFormat="false" ht="15" hidden="false" customHeight="false" outlineLevel="0" collapsed="false">
      <c r="A15" s="24" t="s">
        <v>51</v>
      </c>
      <c r="B15" s="24" t="s">
        <v>52</v>
      </c>
      <c r="C15" s="24" t="s">
        <v>49</v>
      </c>
      <c r="D15" s="25" t="s">
        <v>10</v>
      </c>
      <c r="E15" s="24" t="n">
        <v>1</v>
      </c>
      <c r="F15" s="26" t="s">
        <v>126</v>
      </c>
      <c r="G15" s="24" t="s">
        <v>127</v>
      </c>
      <c r="H15" s="24" t="s">
        <v>128</v>
      </c>
      <c r="I15" s="24" t="s">
        <v>129</v>
      </c>
      <c r="J15" s="27" t="s">
        <v>19</v>
      </c>
      <c r="K15" s="24"/>
      <c r="L15" s="24" t="s">
        <v>130</v>
      </c>
      <c r="M15" s="28"/>
      <c r="N15" s="28" t="s">
        <v>131</v>
      </c>
    </row>
    <row r="16" customFormat="false" ht="15" hidden="false" customHeight="false" outlineLevel="0" collapsed="false">
      <c r="A16" s="24" t="s">
        <v>51</v>
      </c>
      <c r="B16" s="24" t="s">
        <v>52</v>
      </c>
      <c r="C16" s="24" t="s">
        <v>49</v>
      </c>
      <c r="D16" s="25" t="s">
        <v>10</v>
      </c>
      <c r="E16" s="24" t="n">
        <v>2</v>
      </c>
      <c r="F16" s="24" t="s">
        <v>178</v>
      </c>
      <c r="G16" s="24" t="s">
        <v>179</v>
      </c>
      <c r="H16" s="24" t="s">
        <v>180</v>
      </c>
      <c r="I16" s="24" t="s">
        <v>129</v>
      </c>
      <c r="J16" s="29" t="s">
        <v>23</v>
      </c>
      <c r="K16" s="24"/>
      <c r="L16" s="24"/>
      <c r="M16" s="28" t="s">
        <v>181</v>
      </c>
      <c r="N16" s="28" t="s">
        <v>182</v>
      </c>
    </row>
    <row r="17" customFormat="false" ht="15" hidden="false" customHeight="false" outlineLevel="0" collapsed="false">
      <c r="A17" s="24" t="s">
        <v>51</v>
      </c>
      <c r="B17" s="24" t="s">
        <v>52</v>
      </c>
      <c r="C17" s="24" t="s">
        <v>49</v>
      </c>
      <c r="D17" s="25" t="s">
        <v>10</v>
      </c>
      <c r="E17" s="24" t="n">
        <v>3</v>
      </c>
      <c r="F17" s="24" t="s">
        <v>183</v>
      </c>
      <c r="G17" s="24" t="s">
        <v>184</v>
      </c>
      <c r="H17" s="24" t="s">
        <v>185</v>
      </c>
      <c r="I17" s="24" t="s">
        <v>129</v>
      </c>
      <c r="J17" s="24"/>
      <c r="K17" s="24"/>
      <c r="L17" s="24"/>
      <c r="M17" s="28" t="s">
        <v>186</v>
      </c>
      <c r="N17" s="28" t="s">
        <v>187</v>
      </c>
    </row>
    <row r="18" customFormat="false" ht="15" hidden="false" customHeight="false" outlineLevel="0" collapsed="false">
      <c r="A18" s="24" t="s">
        <v>51</v>
      </c>
      <c r="B18" s="24" t="s">
        <v>52</v>
      </c>
      <c r="C18" s="24" t="s">
        <v>49</v>
      </c>
      <c r="D18" s="25" t="s">
        <v>10</v>
      </c>
      <c r="E18" s="24" t="n">
        <v>4</v>
      </c>
      <c r="F18" s="24" t="s">
        <v>137</v>
      </c>
      <c r="G18" s="24" t="s">
        <v>188</v>
      </c>
      <c r="H18" s="24" t="s">
        <v>139</v>
      </c>
      <c r="I18" s="24" t="s">
        <v>129</v>
      </c>
      <c r="J18" s="24"/>
      <c r="K18" s="24"/>
      <c r="L18" s="24"/>
      <c r="M18" s="28"/>
      <c r="N18" s="28" t="s">
        <v>189</v>
      </c>
    </row>
    <row r="19" customFormat="false" ht="15" hidden="false" customHeight="false" outlineLevel="0" collapsed="false">
      <c r="A19" s="24" t="s">
        <v>51</v>
      </c>
      <c r="B19" s="24" t="s">
        <v>52</v>
      </c>
      <c r="C19" s="24" t="s">
        <v>49</v>
      </c>
      <c r="D19" s="25" t="s">
        <v>10</v>
      </c>
      <c r="E19" s="24" t="n">
        <v>5</v>
      </c>
      <c r="F19" s="24" t="s">
        <v>190</v>
      </c>
      <c r="G19" s="24" t="s">
        <v>191</v>
      </c>
      <c r="H19" s="24" t="s">
        <v>139</v>
      </c>
      <c r="I19" s="24" t="s">
        <v>149</v>
      </c>
      <c r="J19" s="29" t="s">
        <v>23</v>
      </c>
      <c r="K19" s="24"/>
      <c r="L19" s="24"/>
      <c r="M19" s="28" t="s">
        <v>192</v>
      </c>
      <c r="N19" s="28" t="s">
        <v>193</v>
      </c>
    </row>
    <row r="20" customFormat="false" ht="15" hidden="false" customHeight="false" outlineLevel="0" collapsed="false">
      <c r="A20" s="24" t="s">
        <v>51</v>
      </c>
      <c r="B20" s="24" t="s">
        <v>52</v>
      </c>
      <c r="C20" s="24" t="s">
        <v>49</v>
      </c>
      <c r="D20" s="25" t="s">
        <v>10</v>
      </c>
      <c r="E20" s="24" t="n">
        <v>6</v>
      </c>
      <c r="F20" s="24" t="s">
        <v>194</v>
      </c>
      <c r="G20" s="24" t="s">
        <v>195</v>
      </c>
      <c r="H20" s="24" t="s">
        <v>196</v>
      </c>
      <c r="I20" s="24" t="s">
        <v>129</v>
      </c>
      <c r="J20" s="24"/>
      <c r="K20" s="24"/>
      <c r="L20" s="24"/>
      <c r="M20" s="28" t="s">
        <v>197</v>
      </c>
      <c r="N20" s="28" t="s">
        <v>198</v>
      </c>
    </row>
    <row r="21" customFormat="false" ht="23.85" hidden="false" customHeight="false" outlineLevel="0" collapsed="false">
      <c r="A21" s="24" t="s">
        <v>51</v>
      </c>
      <c r="B21" s="24" t="s">
        <v>52</v>
      </c>
      <c r="C21" s="24" t="s">
        <v>49</v>
      </c>
      <c r="D21" s="25" t="s">
        <v>10</v>
      </c>
      <c r="E21" s="24" t="n">
        <v>7</v>
      </c>
      <c r="F21" s="24" t="s">
        <v>199</v>
      </c>
      <c r="G21" s="24" t="s">
        <v>127</v>
      </c>
      <c r="H21" s="24" t="s">
        <v>200</v>
      </c>
      <c r="I21" s="24" t="s">
        <v>149</v>
      </c>
      <c r="J21" s="30" t="s">
        <v>21</v>
      </c>
      <c r="K21" s="24" t="s">
        <v>201</v>
      </c>
      <c r="L21" s="24"/>
      <c r="M21" s="28" t="s">
        <v>202</v>
      </c>
      <c r="N21" s="28" t="s">
        <v>203</v>
      </c>
    </row>
    <row r="22" customFormat="false" ht="15" hidden="false" customHeight="false" outlineLevel="0" collapsed="false">
      <c r="A22" s="24" t="s">
        <v>51</v>
      </c>
      <c r="B22" s="24" t="s">
        <v>52</v>
      </c>
      <c r="C22" s="24" t="s">
        <v>49</v>
      </c>
      <c r="D22" s="25" t="s">
        <v>10</v>
      </c>
      <c r="E22" s="24" t="n">
        <v>8</v>
      </c>
      <c r="F22" s="24" t="s">
        <v>204</v>
      </c>
      <c r="G22" s="24" t="s">
        <v>142</v>
      </c>
      <c r="H22" s="24" t="s">
        <v>143</v>
      </c>
      <c r="I22" s="24" t="s">
        <v>129</v>
      </c>
      <c r="J22" s="24"/>
      <c r="K22" s="24"/>
      <c r="L22" s="24" t="s">
        <v>144</v>
      </c>
      <c r="M22" s="28"/>
      <c r="N22" s="28" t="s">
        <v>205</v>
      </c>
    </row>
    <row r="23" customFormat="false" ht="15" hidden="false" customHeight="false" outlineLevel="0" collapsed="false">
      <c r="A23" s="24" t="s">
        <v>51</v>
      </c>
      <c r="B23" s="24" t="s">
        <v>52</v>
      </c>
      <c r="C23" s="24" t="s">
        <v>49</v>
      </c>
      <c r="D23" s="25" t="s">
        <v>10</v>
      </c>
      <c r="E23" s="24" t="n">
        <v>9</v>
      </c>
      <c r="F23" s="24" t="s">
        <v>206</v>
      </c>
      <c r="G23" s="24" t="s">
        <v>142</v>
      </c>
      <c r="H23" s="24" t="s">
        <v>143</v>
      </c>
      <c r="I23" s="24" t="s">
        <v>129</v>
      </c>
      <c r="J23" s="24"/>
      <c r="K23" s="24"/>
      <c r="L23" s="24" t="s">
        <v>207</v>
      </c>
      <c r="M23" s="28"/>
      <c r="N23" s="28" t="s">
        <v>208</v>
      </c>
    </row>
    <row r="24" customFormat="false" ht="15" hidden="false" customHeight="false" outlineLevel="0" collapsed="false">
      <c r="A24" s="24" t="s">
        <v>51</v>
      </c>
      <c r="B24" s="24" t="s">
        <v>52</v>
      </c>
      <c r="C24" s="24" t="s">
        <v>49</v>
      </c>
      <c r="D24" s="25" t="s">
        <v>10</v>
      </c>
      <c r="E24" s="24" t="n">
        <v>10</v>
      </c>
      <c r="F24" s="24" t="s">
        <v>209</v>
      </c>
      <c r="G24" s="24" t="s">
        <v>142</v>
      </c>
      <c r="H24" s="24" t="s">
        <v>210</v>
      </c>
      <c r="I24" s="24" t="s">
        <v>129</v>
      </c>
      <c r="J24" s="24"/>
      <c r="K24" s="24"/>
      <c r="L24" s="24" t="s">
        <v>207</v>
      </c>
      <c r="M24" s="28"/>
      <c r="N24" s="28" t="s">
        <v>211</v>
      </c>
    </row>
    <row r="25" customFormat="false" ht="15" hidden="false" customHeight="false" outlineLevel="0" collapsed="false">
      <c r="A25" s="24" t="s">
        <v>51</v>
      </c>
      <c r="B25" s="24" t="s">
        <v>52</v>
      </c>
      <c r="C25" s="24" t="s">
        <v>49</v>
      </c>
      <c r="D25" s="25" t="s">
        <v>10</v>
      </c>
      <c r="E25" s="24" t="n">
        <v>11</v>
      </c>
      <c r="F25" s="24" t="s">
        <v>212</v>
      </c>
      <c r="G25" s="24" t="s">
        <v>174</v>
      </c>
      <c r="H25" s="24" t="s">
        <v>213</v>
      </c>
      <c r="I25" s="24" t="s">
        <v>149</v>
      </c>
      <c r="J25" s="24"/>
      <c r="K25" s="24"/>
      <c r="L25" s="24"/>
      <c r="M25" s="28"/>
      <c r="N25" s="28" t="s">
        <v>214</v>
      </c>
    </row>
    <row r="26" customFormat="false" ht="15" hidden="false" customHeight="false" outlineLevel="0" collapsed="false">
      <c r="A26" s="24" t="s">
        <v>51</v>
      </c>
      <c r="B26" s="24" t="s">
        <v>52</v>
      </c>
      <c r="C26" s="24" t="s">
        <v>49</v>
      </c>
      <c r="D26" s="25" t="s">
        <v>10</v>
      </c>
      <c r="E26" s="24" t="n">
        <v>12</v>
      </c>
      <c r="F26" s="24" t="s">
        <v>215</v>
      </c>
      <c r="G26" s="24" t="s">
        <v>174</v>
      </c>
      <c r="H26" s="24" t="s">
        <v>175</v>
      </c>
      <c r="I26" s="24" t="s">
        <v>129</v>
      </c>
      <c r="J26" s="24"/>
      <c r="K26" s="24"/>
      <c r="L26" s="24" t="s">
        <v>176</v>
      </c>
      <c r="M26" s="28"/>
      <c r="N26" s="28" t="s">
        <v>216</v>
      </c>
    </row>
    <row r="27" customFormat="false" ht="15" hidden="false" customHeight="false" outlineLevel="0" collapsed="false">
      <c r="A27" s="24" t="s">
        <v>54</v>
      </c>
      <c r="B27" s="24" t="s">
        <v>55</v>
      </c>
      <c r="C27" s="24" t="s">
        <v>49</v>
      </c>
      <c r="D27" s="25" t="s">
        <v>10</v>
      </c>
      <c r="E27" s="24" t="n">
        <v>1</v>
      </c>
      <c r="F27" s="26" t="s">
        <v>126</v>
      </c>
      <c r="G27" s="24" t="s">
        <v>127</v>
      </c>
      <c r="H27" s="24" t="s">
        <v>128</v>
      </c>
      <c r="I27" s="24" t="s">
        <v>129</v>
      </c>
      <c r="J27" s="27" t="s">
        <v>19</v>
      </c>
      <c r="K27" s="24"/>
      <c r="L27" s="24" t="s">
        <v>130</v>
      </c>
      <c r="M27" s="28"/>
      <c r="N27" s="28" t="s">
        <v>131</v>
      </c>
    </row>
    <row r="28" customFormat="false" ht="15" hidden="false" customHeight="false" outlineLevel="0" collapsed="false">
      <c r="A28" s="24" t="s">
        <v>54</v>
      </c>
      <c r="B28" s="24" t="s">
        <v>55</v>
      </c>
      <c r="C28" s="24" t="s">
        <v>49</v>
      </c>
      <c r="D28" s="25" t="s">
        <v>10</v>
      </c>
      <c r="E28" s="24" t="n">
        <v>2</v>
      </c>
      <c r="F28" s="24" t="s">
        <v>217</v>
      </c>
      <c r="G28" s="24" t="s">
        <v>188</v>
      </c>
      <c r="H28" s="24" t="s">
        <v>139</v>
      </c>
      <c r="I28" s="24" t="s">
        <v>129</v>
      </c>
      <c r="J28" s="24"/>
      <c r="K28" s="24"/>
      <c r="L28" s="24"/>
      <c r="M28" s="28"/>
      <c r="N28" s="28" t="s">
        <v>218</v>
      </c>
    </row>
    <row r="29" customFormat="false" ht="15" hidden="false" customHeight="false" outlineLevel="0" collapsed="false">
      <c r="A29" s="24" t="s">
        <v>54</v>
      </c>
      <c r="B29" s="24" t="s">
        <v>55</v>
      </c>
      <c r="C29" s="24" t="s">
        <v>49</v>
      </c>
      <c r="D29" s="25" t="s">
        <v>10</v>
      </c>
      <c r="E29" s="24" t="n">
        <v>3</v>
      </c>
      <c r="F29" s="24" t="s">
        <v>137</v>
      </c>
      <c r="G29" s="24" t="s">
        <v>188</v>
      </c>
      <c r="H29" s="24" t="s">
        <v>139</v>
      </c>
      <c r="I29" s="24" t="s">
        <v>129</v>
      </c>
      <c r="J29" s="24"/>
      <c r="K29" s="24"/>
      <c r="L29" s="24"/>
      <c r="M29" s="28"/>
      <c r="N29" s="28" t="s">
        <v>219</v>
      </c>
    </row>
    <row r="30" customFormat="false" ht="15" hidden="false" customHeight="false" outlineLevel="0" collapsed="false">
      <c r="A30" s="24" t="s">
        <v>54</v>
      </c>
      <c r="B30" s="24" t="s">
        <v>55</v>
      </c>
      <c r="C30" s="24" t="s">
        <v>49</v>
      </c>
      <c r="D30" s="25" t="s">
        <v>10</v>
      </c>
      <c r="E30" s="24" t="n">
        <v>4</v>
      </c>
      <c r="F30" s="24" t="s">
        <v>178</v>
      </c>
      <c r="G30" s="24" t="s">
        <v>179</v>
      </c>
      <c r="H30" s="24" t="s">
        <v>180</v>
      </c>
      <c r="I30" s="24" t="s">
        <v>129</v>
      </c>
      <c r="J30" s="29" t="s">
        <v>23</v>
      </c>
      <c r="K30" s="24"/>
      <c r="L30" s="24"/>
      <c r="M30" s="28" t="s">
        <v>220</v>
      </c>
      <c r="N30" s="28" t="s">
        <v>221</v>
      </c>
    </row>
    <row r="31" customFormat="false" ht="15" hidden="false" customHeight="false" outlineLevel="0" collapsed="false">
      <c r="A31" s="24" t="s">
        <v>54</v>
      </c>
      <c r="B31" s="24" t="s">
        <v>55</v>
      </c>
      <c r="C31" s="24" t="s">
        <v>49</v>
      </c>
      <c r="D31" s="25" t="s">
        <v>10</v>
      </c>
      <c r="E31" s="24" t="n">
        <v>5</v>
      </c>
      <c r="F31" s="24" t="s">
        <v>222</v>
      </c>
      <c r="G31" s="24" t="s">
        <v>223</v>
      </c>
      <c r="H31" s="24" t="s">
        <v>139</v>
      </c>
      <c r="I31" s="24" t="s">
        <v>129</v>
      </c>
      <c r="J31" s="24"/>
      <c r="K31" s="24"/>
      <c r="L31" s="24"/>
      <c r="M31" s="28"/>
      <c r="N31" s="28" t="s">
        <v>224</v>
      </c>
    </row>
    <row r="32" customFormat="false" ht="15" hidden="false" customHeight="false" outlineLevel="0" collapsed="false">
      <c r="A32" s="24" t="s">
        <v>54</v>
      </c>
      <c r="B32" s="24" t="s">
        <v>55</v>
      </c>
      <c r="C32" s="24" t="s">
        <v>49</v>
      </c>
      <c r="D32" s="25" t="s">
        <v>10</v>
      </c>
      <c r="E32" s="24" t="n">
        <v>6</v>
      </c>
      <c r="F32" s="24" t="s">
        <v>225</v>
      </c>
      <c r="G32" s="24" t="s">
        <v>226</v>
      </c>
      <c r="H32" s="24" t="s">
        <v>227</v>
      </c>
      <c r="I32" s="24" t="s">
        <v>156</v>
      </c>
      <c r="J32" s="24"/>
      <c r="K32" s="24"/>
      <c r="L32" s="24"/>
      <c r="M32" s="28"/>
      <c r="N32" s="28" t="s">
        <v>228</v>
      </c>
    </row>
    <row r="33" customFormat="false" ht="15" hidden="false" customHeight="false" outlineLevel="0" collapsed="false">
      <c r="A33" s="24" t="s">
        <v>54</v>
      </c>
      <c r="B33" s="24" t="s">
        <v>55</v>
      </c>
      <c r="C33" s="24" t="s">
        <v>49</v>
      </c>
      <c r="D33" s="25" t="s">
        <v>10</v>
      </c>
      <c r="E33" s="24" t="n">
        <v>7</v>
      </c>
      <c r="F33" s="24" t="s">
        <v>229</v>
      </c>
      <c r="G33" s="24" t="s">
        <v>195</v>
      </c>
      <c r="H33" s="24" t="s">
        <v>196</v>
      </c>
      <c r="I33" s="24" t="s">
        <v>129</v>
      </c>
      <c r="J33" s="24"/>
      <c r="K33" s="24"/>
      <c r="L33" s="24" t="s">
        <v>230</v>
      </c>
      <c r="M33" s="28" t="s">
        <v>231</v>
      </c>
      <c r="N33" s="28" t="s">
        <v>232</v>
      </c>
    </row>
    <row r="34" customFormat="false" ht="15" hidden="false" customHeight="false" outlineLevel="0" collapsed="false">
      <c r="A34" s="24" t="s">
        <v>54</v>
      </c>
      <c r="B34" s="24" t="s">
        <v>55</v>
      </c>
      <c r="C34" s="24" t="s">
        <v>49</v>
      </c>
      <c r="D34" s="25" t="s">
        <v>10</v>
      </c>
      <c r="E34" s="24" t="n">
        <v>8</v>
      </c>
      <c r="F34" s="24" t="s">
        <v>233</v>
      </c>
      <c r="G34" s="24" t="s">
        <v>226</v>
      </c>
      <c r="H34" s="24" t="s">
        <v>227</v>
      </c>
      <c r="I34" s="24" t="s">
        <v>156</v>
      </c>
      <c r="J34" s="24"/>
      <c r="K34" s="24"/>
      <c r="L34" s="24"/>
      <c r="M34" s="28" t="s">
        <v>234</v>
      </c>
      <c r="N34" s="28" t="s">
        <v>235</v>
      </c>
    </row>
    <row r="35" customFormat="false" ht="15" hidden="false" customHeight="false" outlineLevel="0" collapsed="false">
      <c r="A35" s="24" t="s">
        <v>54</v>
      </c>
      <c r="B35" s="24" t="s">
        <v>55</v>
      </c>
      <c r="C35" s="24" t="s">
        <v>49</v>
      </c>
      <c r="D35" s="25" t="s">
        <v>10</v>
      </c>
      <c r="E35" s="24" t="n">
        <v>9</v>
      </c>
      <c r="F35" s="24" t="s">
        <v>173</v>
      </c>
      <c r="G35" s="24" t="s">
        <v>174</v>
      </c>
      <c r="H35" s="24" t="s">
        <v>175</v>
      </c>
      <c r="I35" s="24" t="s">
        <v>129</v>
      </c>
      <c r="J35" s="24"/>
      <c r="K35" s="24"/>
      <c r="L35" s="24" t="s">
        <v>176</v>
      </c>
      <c r="M35" s="28"/>
      <c r="N35" s="28" t="s">
        <v>236</v>
      </c>
    </row>
    <row r="36" customFormat="false" ht="15" hidden="false" customHeight="false" outlineLevel="0" collapsed="false">
      <c r="A36" s="24" t="s">
        <v>57</v>
      </c>
      <c r="B36" s="24" t="s">
        <v>58</v>
      </c>
      <c r="C36" s="24" t="s">
        <v>49</v>
      </c>
      <c r="D36" s="31" t="s">
        <v>14</v>
      </c>
      <c r="E36" s="24" t="n">
        <v>1</v>
      </c>
      <c r="F36" s="26" t="s">
        <v>126</v>
      </c>
      <c r="G36" s="24" t="s">
        <v>127</v>
      </c>
      <c r="H36" s="24" t="s">
        <v>128</v>
      </c>
      <c r="I36" s="24" t="s">
        <v>129</v>
      </c>
      <c r="J36" s="27" t="s">
        <v>19</v>
      </c>
      <c r="K36" s="24"/>
      <c r="L36" s="24" t="s">
        <v>130</v>
      </c>
      <c r="M36" s="28"/>
      <c r="N36" s="28" t="s">
        <v>131</v>
      </c>
    </row>
    <row r="37" customFormat="false" ht="23.85" hidden="false" customHeight="false" outlineLevel="0" collapsed="false">
      <c r="A37" s="24" t="s">
        <v>57</v>
      </c>
      <c r="B37" s="24" t="s">
        <v>58</v>
      </c>
      <c r="C37" s="24" t="s">
        <v>49</v>
      </c>
      <c r="D37" s="31" t="s">
        <v>14</v>
      </c>
      <c r="E37" s="24" t="n">
        <v>2</v>
      </c>
      <c r="F37" s="24" t="s">
        <v>199</v>
      </c>
      <c r="G37" s="24" t="s">
        <v>127</v>
      </c>
      <c r="H37" s="24" t="s">
        <v>200</v>
      </c>
      <c r="I37" s="24" t="s">
        <v>129</v>
      </c>
      <c r="J37" s="30" t="s">
        <v>21</v>
      </c>
      <c r="K37" s="24" t="s">
        <v>237</v>
      </c>
      <c r="L37" s="24"/>
      <c r="M37" s="28" t="s">
        <v>238</v>
      </c>
      <c r="N37" s="28" t="s">
        <v>239</v>
      </c>
    </row>
    <row r="38" customFormat="false" ht="15" hidden="false" customHeight="false" outlineLevel="0" collapsed="false">
      <c r="A38" s="24" t="s">
        <v>57</v>
      </c>
      <c r="B38" s="24" t="s">
        <v>58</v>
      </c>
      <c r="C38" s="24" t="s">
        <v>49</v>
      </c>
      <c r="D38" s="31" t="s">
        <v>14</v>
      </c>
      <c r="E38" s="24" t="n">
        <v>3</v>
      </c>
      <c r="F38" s="24" t="s">
        <v>240</v>
      </c>
      <c r="G38" s="24" t="s">
        <v>127</v>
      </c>
      <c r="H38" s="24" t="s">
        <v>241</v>
      </c>
      <c r="I38" s="24" t="s">
        <v>129</v>
      </c>
      <c r="J38" s="30" t="s">
        <v>21</v>
      </c>
      <c r="K38" s="24" t="s">
        <v>242</v>
      </c>
      <c r="L38" s="24"/>
      <c r="M38" s="28" t="s">
        <v>243</v>
      </c>
      <c r="N38" s="28" t="s">
        <v>244</v>
      </c>
    </row>
    <row r="39" customFormat="false" ht="15" hidden="false" customHeight="false" outlineLevel="0" collapsed="false">
      <c r="A39" s="24" t="s">
        <v>57</v>
      </c>
      <c r="B39" s="24" t="s">
        <v>58</v>
      </c>
      <c r="C39" s="24" t="s">
        <v>49</v>
      </c>
      <c r="D39" s="31" t="s">
        <v>14</v>
      </c>
      <c r="E39" s="24" t="n">
        <v>4</v>
      </c>
      <c r="F39" s="24" t="s">
        <v>229</v>
      </c>
      <c r="G39" s="24" t="s">
        <v>195</v>
      </c>
      <c r="H39" s="24" t="s">
        <v>196</v>
      </c>
      <c r="I39" s="24" t="s">
        <v>129</v>
      </c>
      <c r="J39" s="24"/>
      <c r="K39" s="24"/>
      <c r="L39" s="24" t="s">
        <v>245</v>
      </c>
      <c r="M39" s="28" t="s">
        <v>246</v>
      </c>
      <c r="N39" s="28" t="s">
        <v>247</v>
      </c>
    </row>
    <row r="40" customFormat="false" ht="15" hidden="false" customHeight="false" outlineLevel="0" collapsed="false">
      <c r="A40" s="24" t="s">
        <v>57</v>
      </c>
      <c r="B40" s="24" t="s">
        <v>58</v>
      </c>
      <c r="C40" s="24" t="s">
        <v>49</v>
      </c>
      <c r="D40" s="31" t="s">
        <v>14</v>
      </c>
      <c r="E40" s="24" t="n">
        <v>5</v>
      </c>
      <c r="F40" s="24" t="s">
        <v>248</v>
      </c>
      <c r="G40" s="24" t="s">
        <v>174</v>
      </c>
      <c r="H40" s="24" t="s">
        <v>249</v>
      </c>
      <c r="I40" s="24" t="s">
        <v>149</v>
      </c>
      <c r="J40" s="24"/>
      <c r="K40" s="24"/>
      <c r="L40" s="24"/>
      <c r="M40" s="28"/>
      <c r="N40" s="28" t="s">
        <v>250</v>
      </c>
    </row>
    <row r="41" customFormat="false" ht="15" hidden="false" customHeight="false" outlineLevel="0" collapsed="false">
      <c r="A41" s="24" t="s">
        <v>57</v>
      </c>
      <c r="B41" s="24" t="s">
        <v>58</v>
      </c>
      <c r="C41" s="24" t="s">
        <v>49</v>
      </c>
      <c r="D41" s="31" t="s">
        <v>14</v>
      </c>
      <c r="E41" s="24" t="n">
        <v>6</v>
      </c>
      <c r="F41" s="24" t="s">
        <v>251</v>
      </c>
      <c r="G41" s="24" t="s">
        <v>127</v>
      </c>
      <c r="H41" s="24" t="s">
        <v>241</v>
      </c>
      <c r="I41" s="24" t="s">
        <v>149</v>
      </c>
      <c r="J41" s="30" t="s">
        <v>21</v>
      </c>
      <c r="K41" s="24" t="s">
        <v>252</v>
      </c>
      <c r="L41" s="24"/>
      <c r="M41" s="28"/>
      <c r="N41" s="28" t="s">
        <v>253</v>
      </c>
    </row>
    <row r="42" customFormat="false" ht="15" hidden="false" customHeight="false" outlineLevel="0" collapsed="false">
      <c r="A42" s="24" t="s">
        <v>57</v>
      </c>
      <c r="B42" s="24" t="s">
        <v>58</v>
      </c>
      <c r="C42" s="24" t="s">
        <v>49</v>
      </c>
      <c r="D42" s="31" t="s">
        <v>14</v>
      </c>
      <c r="E42" s="24" t="n">
        <v>7</v>
      </c>
      <c r="F42" s="24" t="s">
        <v>173</v>
      </c>
      <c r="G42" s="24" t="s">
        <v>174</v>
      </c>
      <c r="H42" s="24" t="s">
        <v>175</v>
      </c>
      <c r="I42" s="24" t="s">
        <v>129</v>
      </c>
      <c r="J42" s="24"/>
      <c r="K42" s="24"/>
      <c r="L42" s="24" t="s">
        <v>176</v>
      </c>
      <c r="M42" s="28" t="s">
        <v>254</v>
      </c>
      <c r="N42" s="28" t="s">
        <v>255</v>
      </c>
    </row>
    <row r="43" customFormat="false" ht="15" hidden="false" customHeight="false" outlineLevel="0" collapsed="false">
      <c r="A43" s="24" t="s">
        <v>57</v>
      </c>
      <c r="B43" s="24" t="s">
        <v>58</v>
      </c>
      <c r="C43" s="24" t="s">
        <v>49</v>
      </c>
      <c r="D43" s="31" t="s">
        <v>14</v>
      </c>
      <c r="E43" s="24" t="n">
        <v>8</v>
      </c>
      <c r="F43" s="24" t="s">
        <v>256</v>
      </c>
      <c r="G43" s="24" t="s">
        <v>174</v>
      </c>
      <c r="H43" s="24" t="s">
        <v>257</v>
      </c>
      <c r="I43" s="24" t="s">
        <v>129</v>
      </c>
      <c r="J43" s="24"/>
      <c r="K43" s="24"/>
      <c r="L43" s="24" t="s">
        <v>176</v>
      </c>
      <c r="M43" s="28" t="s">
        <v>254</v>
      </c>
      <c r="N43" s="28" t="s">
        <v>258</v>
      </c>
    </row>
    <row r="44" customFormat="false" ht="15" hidden="false" customHeight="false" outlineLevel="0" collapsed="false">
      <c r="A44" s="24" t="s">
        <v>60</v>
      </c>
      <c r="B44" s="24" t="s">
        <v>61</v>
      </c>
      <c r="C44" s="24" t="s">
        <v>62</v>
      </c>
      <c r="D44" s="32" t="s">
        <v>12</v>
      </c>
      <c r="E44" s="24" t="n">
        <v>1</v>
      </c>
      <c r="F44" s="26" t="s">
        <v>126</v>
      </c>
      <c r="G44" s="24" t="s">
        <v>127</v>
      </c>
      <c r="H44" s="24" t="s">
        <v>128</v>
      </c>
      <c r="I44" s="24" t="s">
        <v>129</v>
      </c>
      <c r="J44" s="27" t="s">
        <v>19</v>
      </c>
      <c r="K44" s="24"/>
      <c r="L44" s="24" t="s">
        <v>130</v>
      </c>
      <c r="M44" s="28"/>
      <c r="N44" s="28" t="s">
        <v>131</v>
      </c>
    </row>
    <row r="45" customFormat="false" ht="23.85" hidden="false" customHeight="false" outlineLevel="0" collapsed="false">
      <c r="A45" s="24" t="s">
        <v>60</v>
      </c>
      <c r="B45" s="24" t="s">
        <v>61</v>
      </c>
      <c r="C45" s="24" t="s">
        <v>62</v>
      </c>
      <c r="D45" s="32" t="s">
        <v>12</v>
      </c>
      <c r="E45" s="24" t="n">
        <v>2</v>
      </c>
      <c r="F45" s="24" t="s">
        <v>199</v>
      </c>
      <c r="G45" s="24" t="s">
        <v>127</v>
      </c>
      <c r="H45" s="24" t="s">
        <v>200</v>
      </c>
      <c r="I45" s="24" t="s">
        <v>129</v>
      </c>
      <c r="J45" s="30" t="s">
        <v>21</v>
      </c>
      <c r="K45" s="24" t="s">
        <v>237</v>
      </c>
      <c r="L45" s="24"/>
      <c r="M45" s="28" t="s">
        <v>238</v>
      </c>
      <c r="N45" s="28" t="s">
        <v>239</v>
      </c>
    </row>
    <row r="46" customFormat="false" ht="15" hidden="false" customHeight="false" outlineLevel="0" collapsed="false">
      <c r="A46" s="24" t="s">
        <v>60</v>
      </c>
      <c r="B46" s="24" t="s">
        <v>61</v>
      </c>
      <c r="C46" s="24" t="s">
        <v>62</v>
      </c>
      <c r="D46" s="32" t="s">
        <v>12</v>
      </c>
      <c r="E46" s="24" t="n">
        <v>3</v>
      </c>
      <c r="F46" s="24" t="s">
        <v>137</v>
      </c>
      <c r="G46" s="24" t="s">
        <v>133</v>
      </c>
      <c r="H46" s="24" t="s">
        <v>139</v>
      </c>
      <c r="I46" s="24" t="s">
        <v>129</v>
      </c>
      <c r="J46" s="24"/>
      <c r="K46" s="24"/>
      <c r="L46" s="24"/>
      <c r="M46" s="28" t="s">
        <v>259</v>
      </c>
      <c r="N46" s="28" t="s">
        <v>260</v>
      </c>
    </row>
    <row r="47" customFormat="false" ht="15" hidden="false" customHeight="false" outlineLevel="0" collapsed="false">
      <c r="A47" s="24" t="s">
        <v>60</v>
      </c>
      <c r="B47" s="24" t="s">
        <v>61</v>
      </c>
      <c r="C47" s="24" t="s">
        <v>62</v>
      </c>
      <c r="D47" s="32" t="s">
        <v>12</v>
      </c>
      <c r="E47" s="24" t="n">
        <v>4</v>
      </c>
      <c r="F47" s="24" t="s">
        <v>173</v>
      </c>
      <c r="G47" s="24" t="s">
        <v>174</v>
      </c>
      <c r="H47" s="24" t="s">
        <v>175</v>
      </c>
      <c r="I47" s="24" t="s">
        <v>129</v>
      </c>
      <c r="J47" s="24"/>
      <c r="K47" s="24"/>
      <c r="L47" s="24" t="s">
        <v>176</v>
      </c>
      <c r="M47" s="28" t="s">
        <v>254</v>
      </c>
      <c r="N47" s="28" t="s">
        <v>255</v>
      </c>
    </row>
    <row r="48" customFormat="false" ht="15" hidden="false" customHeight="false" outlineLevel="0" collapsed="false">
      <c r="A48" s="24" t="s">
        <v>60</v>
      </c>
      <c r="B48" s="24" t="s">
        <v>61</v>
      </c>
      <c r="C48" s="24" t="s">
        <v>62</v>
      </c>
      <c r="D48" s="32" t="s">
        <v>12</v>
      </c>
      <c r="E48" s="24" t="n">
        <v>5</v>
      </c>
      <c r="F48" s="24" t="s">
        <v>256</v>
      </c>
      <c r="G48" s="24" t="s">
        <v>174</v>
      </c>
      <c r="H48" s="24" t="s">
        <v>257</v>
      </c>
      <c r="I48" s="24" t="s">
        <v>129</v>
      </c>
      <c r="J48" s="24"/>
      <c r="K48" s="24"/>
      <c r="L48" s="24" t="s">
        <v>176</v>
      </c>
      <c r="M48" s="28" t="s">
        <v>254</v>
      </c>
      <c r="N48" s="28" t="s">
        <v>258</v>
      </c>
    </row>
    <row r="49" customFormat="false" ht="15" hidden="false" customHeight="false" outlineLevel="0" collapsed="false">
      <c r="A49" s="24" t="s">
        <v>64</v>
      </c>
      <c r="B49" s="24" t="s">
        <v>65</v>
      </c>
      <c r="C49" s="24" t="s">
        <v>62</v>
      </c>
      <c r="D49" s="32" t="s">
        <v>12</v>
      </c>
      <c r="E49" s="24" t="n">
        <v>1</v>
      </c>
      <c r="F49" s="26" t="s">
        <v>126</v>
      </c>
      <c r="G49" s="24" t="s">
        <v>127</v>
      </c>
      <c r="H49" s="24" t="s">
        <v>128</v>
      </c>
      <c r="I49" s="24" t="s">
        <v>129</v>
      </c>
      <c r="J49" s="27" t="s">
        <v>19</v>
      </c>
      <c r="K49" s="24"/>
      <c r="L49" s="24" t="s">
        <v>130</v>
      </c>
      <c r="M49" s="28"/>
      <c r="N49" s="28" t="s">
        <v>131</v>
      </c>
    </row>
    <row r="50" customFormat="false" ht="23.85" hidden="false" customHeight="false" outlineLevel="0" collapsed="false">
      <c r="A50" s="24" t="s">
        <v>64</v>
      </c>
      <c r="B50" s="24" t="s">
        <v>65</v>
      </c>
      <c r="C50" s="24" t="s">
        <v>62</v>
      </c>
      <c r="D50" s="32" t="s">
        <v>12</v>
      </c>
      <c r="E50" s="24" t="n">
        <v>2</v>
      </c>
      <c r="F50" s="24" t="s">
        <v>199</v>
      </c>
      <c r="G50" s="24" t="s">
        <v>127</v>
      </c>
      <c r="H50" s="24" t="s">
        <v>200</v>
      </c>
      <c r="I50" s="24" t="s">
        <v>129</v>
      </c>
      <c r="J50" s="30" t="s">
        <v>21</v>
      </c>
      <c r="K50" s="24" t="s">
        <v>237</v>
      </c>
      <c r="L50" s="24"/>
      <c r="M50" s="28" t="s">
        <v>238</v>
      </c>
      <c r="N50" s="28" t="s">
        <v>239</v>
      </c>
    </row>
    <row r="51" customFormat="false" ht="15" hidden="false" customHeight="false" outlineLevel="0" collapsed="false">
      <c r="A51" s="24" t="s">
        <v>64</v>
      </c>
      <c r="B51" s="24" t="s">
        <v>65</v>
      </c>
      <c r="C51" s="24" t="s">
        <v>62</v>
      </c>
      <c r="D51" s="32" t="s">
        <v>12</v>
      </c>
      <c r="E51" s="24" t="n">
        <v>3</v>
      </c>
      <c r="F51" s="24" t="s">
        <v>261</v>
      </c>
      <c r="G51" s="24" t="s">
        <v>262</v>
      </c>
      <c r="H51" s="24" t="s">
        <v>139</v>
      </c>
      <c r="I51" s="24" t="s">
        <v>129</v>
      </c>
      <c r="J51" s="29" t="s">
        <v>23</v>
      </c>
      <c r="K51" s="24"/>
      <c r="L51" s="24"/>
      <c r="M51" s="28" t="s">
        <v>263</v>
      </c>
      <c r="N51" s="28" t="s">
        <v>264</v>
      </c>
    </row>
    <row r="52" customFormat="false" ht="15" hidden="false" customHeight="false" outlineLevel="0" collapsed="false">
      <c r="A52" s="24" t="s">
        <v>64</v>
      </c>
      <c r="B52" s="24" t="s">
        <v>65</v>
      </c>
      <c r="C52" s="24" t="s">
        <v>62</v>
      </c>
      <c r="D52" s="32" t="s">
        <v>12</v>
      </c>
      <c r="E52" s="24" t="n">
        <v>4</v>
      </c>
      <c r="F52" s="24" t="s">
        <v>137</v>
      </c>
      <c r="G52" s="24" t="s">
        <v>188</v>
      </c>
      <c r="H52" s="24" t="s">
        <v>139</v>
      </c>
      <c r="I52" s="24" t="s">
        <v>129</v>
      </c>
      <c r="J52" s="24"/>
      <c r="K52" s="24"/>
      <c r="L52" s="24"/>
      <c r="M52" s="28"/>
      <c r="N52" s="28" t="s">
        <v>265</v>
      </c>
    </row>
    <row r="53" customFormat="false" ht="15" hidden="false" customHeight="false" outlineLevel="0" collapsed="false">
      <c r="A53" s="24" t="s">
        <v>64</v>
      </c>
      <c r="B53" s="24" t="s">
        <v>65</v>
      </c>
      <c r="C53" s="24" t="s">
        <v>62</v>
      </c>
      <c r="D53" s="32" t="s">
        <v>12</v>
      </c>
      <c r="E53" s="24" t="n">
        <v>5</v>
      </c>
      <c r="F53" s="24" t="s">
        <v>266</v>
      </c>
      <c r="G53" s="24" t="s">
        <v>267</v>
      </c>
      <c r="H53" s="24" t="s">
        <v>268</v>
      </c>
      <c r="I53" s="24" t="s">
        <v>129</v>
      </c>
      <c r="J53" s="24"/>
      <c r="K53" s="24"/>
      <c r="L53" s="24"/>
      <c r="M53" s="28" t="s">
        <v>269</v>
      </c>
      <c r="N53" s="28" t="s">
        <v>270</v>
      </c>
    </row>
    <row r="54" customFormat="false" ht="15" hidden="false" customHeight="false" outlineLevel="0" collapsed="false">
      <c r="A54" s="24" t="s">
        <v>64</v>
      </c>
      <c r="B54" s="24" t="s">
        <v>65</v>
      </c>
      <c r="C54" s="24" t="s">
        <v>62</v>
      </c>
      <c r="D54" s="32" t="s">
        <v>12</v>
      </c>
      <c r="E54" s="24" t="n">
        <v>6</v>
      </c>
      <c r="F54" s="24" t="s">
        <v>271</v>
      </c>
      <c r="G54" s="24" t="s">
        <v>272</v>
      </c>
      <c r="H54" s="24" t="s">
        <v>196</v>
      </c>
      <c r="I54" s="24" t="s">
        <v>129</v>
      </c>
      <c r="J54" s="24"/>
      <c r="K54" s="24"/>
      <c r="L54" s="24" t="s">
        <v>273</v>
      </c>
      <c r="M54" s="28" t="s">
        <v>274</v>
      </c>
      <c r="N54" s="28" t="s">
        <v>275</v>
      </c>
    </row>
    <row r="55" customFormat="false" ht="15" hidden="false" customHeight="false" outlineLevel="0" collapsed="false">
      <c r="A55" s="24" t="s">
        <v>64</v>
      </c>
      <c r="B55" s="24" t="s">
        <v>65</v>
      </c>
      <c r="C55" s="24" t="s">
        <v>62</v>
      </c>
      <c r="D55" s="32" t="s">
        <v>12</v>
      </c>
      <c r="E55" s="24" t="n">
        <v>7</v>
      </c>
      <c r="F55" s="24" t="s">
        <v>276</v>
      </c>
      <c r="G55" s="24" t="s">
        <v>267</v>
      </c>
      <c r="H55" s="24" t="s">
        <v>268</v>
      </c>
      <c r="I55" s="24" t="s">
        <v>129</v>
      </c>
      <c r="J55" s="24"/>
      <c r="K55" s="24"/>
      <c r="L55" s="24" t="s">
        <v>277</v>
      </c>
      <c r="M55" s="28" t="s">
        <v>278</v>
      </c>
      <c r="N55" s="28" t="s">
        <v>279</v>
      </c>
    </row>
    <row r="56" customFormat="false" ht="23.85" hidden="false" customHeight="false" outlineLevel="0" collapsed="false">
      <c r="A56" s="24" t="s">
        <v>64</v>
      </c>
      <c r="B56" s="24" t="s">
        <v>65</v>
      </c>
      <c r="C56" s="24" t="s">
        <v>62</v>
      </c>
      <c r="D56" s="32" t="s">
        <v>12</v>
      </c>
      <c r="E56" s="24" t="n">
        <v>8</v>
      </c>
      <c r="F56" s="24" t="s">
        <v>280</v>
      </c>
      <c r="G56" s="24" t="s">
        <v>267</v>
      </c>
      <c r="H56" s="24" t="s">
        <v>268</v>
      </c>
      <c r="I56" s="24" t="s">
        <v>129</v>
      </c>
      <c r="J56" s="24"/>
      <c r="K56" s="24"/>
      <c r="L56" s="24"/>
      <c r="M56" s="28" t="s">
        <v>281</v>
      </c>
      <c r="N56" s="28" t="s">
        <v>282</v>
      </c>
    </row>
    <row r="57" customFormat="false" ht="15" hidden="false" customHeight="false" outlineLevel="0" collapsed="false">
      <c r="A57" s="24" t="s">
        <v>64</v>
      </c>
      <c r="B57" s="24" t="s">
        <v>65</v>
      </c>
      <c r="C57" s="24" t="s">
        <v>62</v>
      </c>
      <c r="D57" s="32" t="s">
        <v>12</v>
      </c>
      <c r="E57" s="24" t="n">
        <v>9</v>
      </c>
      <c r="F57" s="24" t="s">
        <v>283</v>
      </c>
      <c r="G57" s="24" t="s">
        <v>267</v>
      </c>
      <c r="H57" s="24" t="s">
        <v>268</v>
      </c>
      <c r="I57" s="24" t="s">
        <v>129</v>
      </c>
      <c r="J57" s="24"/>
      <c r="K57" s="24"/>
      <c r="L57" s="24"/>
      <c r="M57" s="28" t="s">
        <v>284</v>
      </c>
      <c r="N57" s="28" t="s">
        <v>285</v>
      </c>
    </row>
    <row r="58" customFormat="false" ht="15" hidden="false" customHeight="false" outlineLevel="0" collapsed="false">
      <c r="A58" s="24" t="s">
        <v>64</v>
      </c>
      <c r="B58" s="24" t="s">
        <v>65</v>
      </c>
      <c r="C58" s="24" t="s">
        <v>62</v>
      </c>
      <c r="D58" s="32" t="s">
        <v>12</v>
      </c>
      <c r="E58" s="24" t="n">
        <v>10</v>
      </c>
      <c r="F58" s="24" t="s">
        <v>286</v>
      </c>
      <c r="G58" s="24" t="s">
        <v>133</v>
      </c>
      <c r="H58" s="24" t="s">
        <v>139</v>
      </c>
      <c r="I58" s="24" t="s">
        <v>129</v>
      </c>
      <c r="J58" s="24"/>
      <c r="K58" s="24"/>
      <c r="L58" s="24"/>
      <c r="M58" s="28" t="s">
        <v>287</v>
      </c>
      <c r="N58" s="28" t="s">
        <v>288</v>
      </c>
    </row>
    <row r="59" customFormat="false" ht="15" hidden="false" customHeight="false" outlineLevel="0" collapsed="false">
      <c r="A59" s="24" t="s">
        <v>64</v>
      </c>
      <c r="B59" s="24" t="s">
        <v>65</v>
      </c>
      <c r="C59" s="24" t="s">
        <v>62</v>
      </c>
      <c r="D59" s="32" t="s">
        <v>12</v>
      </c>
      <c r="E59" s="24" t="n">
        <v>11</v>
      </c>
      <c r="F59" s="24" t="s">
        <v>289</v>
      </c>
      <c r="G59" s="24" t="s">
        <v>290</v>
      </c>
      <c r="H59" s="24" t="s">
        <v>139</v>
      </c>
      <c r="I59" s="24" t="s">
        <v>156</v>
      </c>
      <c r="J59" s="24"/>
      <c r="K59" s="24"/>
      <c r="L59" s="24"/>
      <c r="M59" s="28" t="s">
        <v>291</v>
      </c>
      <c r="N59" s="28" t="s">
        <v>292</v>
      </c>
    </row>
    <row r="60" customFormat="false" ht="15" hidden="false" customHeight="false" outlineLevel="0" collapsed="false">
      <c r="A60" s="24" t="s">
        <v>64</v>
      </c>
      <c r="B60" s="24" t="s">
        <v>65</v>
      </c>
      <c r="C60" s="24" t="s">
        <v>62</v>
      </c>
      <c r="D60" s="32" t="s">
        <v>12</v>
      </c>
      <c r="E60" s="24" t="n">
        <v>12</v>
      </c>
      <c r="F60" s="24" t="s">
        <v>293</v>
      </c>
      <c r="G60" s="24" t="s">
        <v>142</v>
      </c>
      <c r="H60" s="24" t="s">
        <v>143</v>
      </c>
      <c r="I60" s="24" t="s">
        <v>129</v>
      </c>
      <c r="J60" s="24"/>
      <c r="K60" s="24"/>
      <c r="L60" s="24" t="s">
        <v>144</v>
      </c>
      <c r="M60" s="28" t="s">
        <v>294</v>
      </c>
      <c r="N60" s="28" t="s">
        <v>295</v>
      </c>
    </row>
    <row r="61" customFormat="false" ht="15" hidden="false" customHeight="false" outlineLevel="0" collapsed="false">
      <c r="A61" s="24" t="s">
        <v>64</v>
      </c>
      <c r="B61" s="24" t="s">
        <v>65</v>
      </c>
      <c r="C61" s="24" t="s">
        <v>62</v>
      </c>
      <c r="D61" s="32" t="s">
        <v>12</v>
      </c>
      <c r="E61" s="24" t="n">
        <v>13</v>
      </c>
      <c r="F61" s="24" t="s">
        <v>173</v>
      </c>
      <c r="G61" s="24" t="s">
        <v>174</v>
      </c>
      <c r="H61" s="24" t="s">
        <v>175</v>
      </c>
      <c r="I61" s="24" t="s">
        <v>129</v>
      </c>
      <c r="J61" s="24"/>
      <c r="K61" s="24"/>
      <c r="L61" s="24" t="s">
        <v>176</v>
      </c>
      <c r="M61" s="28" t="s">
        <v>254</v>
      </c>
      <c r="N61" s="28" t="s">
        <v>255</v>
      </c>
    </row>
    <row r="62" customFormat="false" ht="15" hidden="false" customHeight="false" outlineLevel="0" collapsed="false">
      <c r="A62" s="24" t="s">
        <v>64</v>
      </c>
      <c r="B62" s="24" t="s">
        <v>65</v>
      </c>
      <c r="C62" s="24" t="s">
        <v>62</v>
      </c>
      <c r="D62" s="32" t="s">
        <v>12</v>
      </c>
      <c r="E62" s="24" t="n">
        <v>14</v>
      </c>
      <c r="F62" s="24" t="s">
        <v>256</v>
      </c>
      <c r="G62" s="24" t="s">
        <v>174</v>
      </c>
      <c r="H62" s="24" t="s">
        <v>257</v>
      </c>
      <c r="I62" s="24" t="s">
        <v>129</v>
      </c>
      <c r="J62" s="24"/>
      <c r="K62" s="24"/>
      <c r="L62" s="24" t="s">
        <v>176</v>
      </c>
      <c r="M62" s="28" t="s">
        <v>254</v>
      </c>
      <c r="N62" s="28" t="s">
        <v>258</v>
      </c>
    </row>
    <row r="63" customFormat="false" ht="15" hidden="false" customHeight="false" outlineLevel="0" collapsed="false">
      <c r="A63" s="24" t="s">
        <v>67</v>
      </c>
      <c r="B63" s="24" t="s">
        <v>68</v>
      </c>
      <c r="C63" s="24" t="s">
        <v>62</v>
      </c>
      <c r="D63" s="32" t="s">
        <v>12</v>
      </c>
      <c r="E63" s="24" t="n">
        <v>1</v>
      </c>
      <c r="F63" s="26" t="s">
        <v>126</v>
      </c>
      <c r="G63" s="24" t="s">
        <v>127</v>
      </c>
      <c r="H63" s="24" t="s">
        <v>128</v>
      </c>
      <c r="I63" s="24" t="s">
        <v>129</v>
      </c>
      <c r="J63" s="27" t="s">
        <v>19</v>
      </c>
      <c r="K63" s="24"/>
      <c r="L63" s="24" t="s">
        <v>130</v>
      </c>
      <c r="M63" s="28"/>
      <c r="N63" s="28" t="s">
        <v>131</v>
      </c>
    </row>
    <row r="64" customFormat="false" ht="23.85" hidden="false" customHeight="false" outlineLevel="0" collapsed="false">
      <c r="A64" s="24" t="s">
        <v>67</v>
      </c>
      <c r="B64" s="24" t="s">
        <v>68</v>
      </c>
      <c r="C64" s="24" t="s">
        <v>62</v>
      </c>
      <c r="D64" s="32" t="s">
        <v>12</v>
      </c>
      <c r="E64" s="24" t="n">
        <v>2</v>
      </c>
      <c r="F64" s="24" t="s">
        <v>199</v>
      </c>
      <c r="G64" s="24" t="s">
        <v>127</v>
      </c>
      <c r="H64" s="24" t="s">
        <v>200</v>
      </c>
      <c r="I64" s="24" t="s">
        <v>129</v>
      </c>
      <c r="J64" s="30" t="s">
        <v>21</v>
      </c>
      <c r="K64" s="24" t="s">
        <v>237</v>
      </c>
      <c r="L64" s="24"/>
      <c r="M64" s="28" t="s">
        <v>238</v>
      </c>
      <c r="N64" s="28" t="s">
        <v>239</v>
      </c>
    </row>
    <row r="65" customFormat="false" ht="15" hidden="false" customHeight="false" outlineLevel="0" collapsed="false">
      <c r="A65" s="24" t="s">
        <v>67</v>
      </c>
      <c r="B65" s="24" t="s">
        <v>68</v>
      </c>
      <c r="C65" s="24" t="s">
        <v>62</v>
      </c>
      <c r="D65" s="32" t="s">
        <v>12</v>
      </c>
      <c r="E65" s="24" t="n">
        <v>3</v>
      </c>
      <c r="F65" s="24" t="s">
        <v>296</v>
      </c>
      <c r="G65" s="24" t="s">
        <v>127</v>
      </c>
      <c r="H65" s="24" t="s">
        <v>297</v>
      </c>
      <c r="I65" s="24" t="s">
        <v>129</v>
      </c>
      <c r="J65" s="30" t="s">
        <v>21</v>
      </c>
      <c r="K65" s="24" t="s">
        <v>298</v>
      </c>
      <c r="L65" s="24"/>
      <c r="M65" s="28" t="s">
        <v>299</v>
      </c>
      <c r="N65" s="28" t="s">
        <v>300</v>
      </c>
    </row>
    <row r="66" customFormat="false" ht="15" hidden="false" customHeight="false" outlineLevel="0" collapsed="false">
      <c r="A66" s="24" t="s">
        <v>67</v>
      </c>
      <c r="B66" s="24" t="s">
        <v>68</v>
      </c>
      <c r="C66" s="24" t="s">
        <v>62</v>
      </c>
      <c r="D66" s="32" t="s">
        <v>12</v>
      </c>
      <c r="E66" s="24" t="n">
        <v>4</v>
      </c>
      <c r="F66" s="24" t="s">
        <v>301</v>
      </c>
      <c r="G66" s="24" t="s">
        <v>127</v>
      </c>
      <c r="H66" s="24" t="s">
        <v>302</v>
      </c>
      <c r="I66" s="24" t="s">
        <v>129</v>
      </c>
      <c r="J66" s="30" t="s">
        <v>21</v>
      </c>
      <c r="K66" s="24" t="s">
        <v>303</v>
      </c>
      <c r="L66" s="24"/>
      <c r="M66" s="28" t="s">
        <v>304</v>
      </c>
      <c r="N66" s="28" t="s">
        <v>305</v>
      </c>
    </row>
    <row r="67" customFormat="false" ht="15" hidden="false" customHeight="false" outlineLevel="0" collapsed="false">
      <c r="A67" s="24" t="s">
        <v>67</v>
      </c>
      <c r="B67" s="24" t="s">
        <v>68</v>
      </c>
      <c r="C67" s="24" t="s">
        <v>62</v>
      </c>
      <c r="D67" s="32" t="s">
        <v>12</v>
      </c>
      <c r="E67" s="24" t="n">
        <v>5</v>
      </c>
      <c r="F67" s="24" t="s">
        <v>306</v>
      </c>
      <c r="G67" s="24" t="s">
        <v>267</v>
      </c>
      <c r="H67" s="24" t="s">
        <v>268</v>
      </c>
      <c r="I67" s="24" t="s">
        <v>129</v>
      </c>
      <c r="J67" s="24"/>
      <c r="K67" s="24"/>
      <c r="L67" s="24"/>
      <c r="M67" s="28" t="s">
        <v>307</v>
      </c>
      <c r="N67" s="28" t="s">
        <v>308</v>
      </c>
    </row>
    <row r="68" customFormat="false" ht="15" hidden="false" customHeight="false" outlineLevel="0" collapsed="false">
      <c r="A68" s="24" t="s">
        <v>67</v>
      </c>
      <c r="B68" s="24" t="s">
        <v>68</v>
      </c>
      <c r="C68" s="24" t="s">
        <v>62</v>
      </c>
      <c r="D68" s="32" t="s">
        <v>12</v>
      </c>
      <c r="E68" s="24" t="n">
        <v>6</v>
      </c>
      <c r="F68" s="24" t="s">
        <v>173</v>
      </c>
      <c r="G68" s="24" t="s">
        <v>174</v>
      </c>
      <c r="H68" s="24" t="s">
        <v>175</v>
      </c>
      <c r="I68" s="24" t="s">
        <v>129</v>
      </c>
      <c r="J68" s="24"/>
      <c r="K68" s="24"/>
      <c r="L68" s="24" t="s">
        <v>176</v>
      </c>
      <c r="M68" s="28" t="s">
        <v>254</v>
      </c>
      <c r="N68" s="28" t="s">
        <v>255</v>
      </c>
    </row>
    <row r="69" customFormat="false" ht="15" hidden="false" customHeight="false" outlineLevel="0" collapsed="false">
      <c r="A69" s="24" t="s">
        <v>67</v>
      </c>
      <c r="B69" s="24" t="s">
        <v>68</v>
      </c>
      <c r="C69" s="24" t="s">
        <v>62</v>
      </c>
      <c r="D69" s="32" t="s">
        <v>12</v>
      </c>
      <c r="E69" s="24" t="n">
        <v>7</v>
      </c>
      <c r="F69" s="24" t="s">
        <v>256</v>
      </c>
      <c r="G69" s="24" t="s">
        <v>174</v>
      </c>
      <c r="H69" s="24" t="s">
        <v>257</v>
      </c>
      <c r="I69" s="24" t="s">
        <v>129</v>
      </c>
      <c r="J69" s="24"/>
      <c r="K69" s="24"/>
      <c r="L69" s="24" t="s">
        <v>176</v>
      </c>
      <c r="M69" s="28" t="s">
        <v>254</v>
      </c>
      <c r="N69" s="28" t="s">
        <v>258</v>
      </c>
    </row>
    <row r="70" customFormat="false" ht="15" hidden="false" customHeight="false" outlineLevel="0" collapsed="false">
      <c r="A70" s="24" t="s">
        <v>70</v>
      </c>
      <c r="B70" s="24" t="s">
        <v>71</v>
      </c>
      <c r="C70" s="24" t="s">
        <v>62</v>
      </c>
      <c r="D70" s="32" t="s">
        <v>12</v>
      </c>
      <c r="E70" s="24" t="n">
        <v>1</v>
      </c>
      <c r="F70" s="26" t="s">
        <v>126</v>
      </c>
      <c r="G70" s="24" t="s">
        <v>127</v>
      </c>
      <c r="H70" s="24" t="s">
        <v>128</v>
      </c>
      <c r="I70" s="24" t="s">
        <v>129</v>
      </c>
      <c r="J70" s="27" t="s">
        <v>19</v>
      </c>
      <c r="K70" s="24"/>
      <c r="L70" s="24" t="s">
        <v>130</v>
      </c>
      <c r="M70" s="28"/>
      <c r="N70" s="28" t="s">
        <v>131</v>
      </c>
    </row>
    <row r="71" customFormat="false" ht="23.85" hidden="false" customHeight="false" outlineLevel="0" collapsed="false">
      <c r="A71" s="24" t="s">
        <v>70</v>
      </c>
      <c r="B71" s="24" t="s">
        <v>71</v>
      </c>
      <c r="C71" s="24" t="s">
        <v>62</v>
      </c>
      <c r="D71" s="32" t="s">
        <v>12</v>
      </c>
      <c r="E71" s="24" t="n">
        <v>2</v>
      </c>
      <c r="F71" s="24" t="s">
        <v>199</v>
      </c>
      <c r="G71" s="24" t="s">
        <v>127</v>
      </c>
      <c r="H71" s="24" t="s">
        <v>200</v>
      </c>
      <c r="I71" s="24" t="s">
        <v>129</v>
      </c>
      <c r="J71" s="30" t="s">
        <v>21</v>
      </c>
      <c r="K71" s="24" t="s">
        <v>237</v>
      </c>
      <c r="L71" s="24"/>
      <c r="M71" s="28" t="s">
        <v>238</v>
      </c>
      <c r="N71" s="28" t="s">
        <v>239</v>
      </c>
    </row>
    <row r="72" customFormat="false" ht="15" hidden="false" customHeight="false" outlineLevel="0" collapsed="false">
      <c r="A72" s="24" t="s">
        <v>70</v>
      </c>
      <c r="B72" s="24" t="s">
        <v>71</v>
      </c>
      <c r="C72" s="24" t="s">
        <v>62</v>
      </c>
      <c r="D72" s="32" t="s">
        <v>12</v>
      </c>
      <c r="E72" s="24" t="n">
        <v>3</v>
      </c>
      <c r="F72" s="24" t="s">
        <v>261</v>
      </c>
      <c r="G72" s="24" t="s">
        <v>262</v>
      </c>
      <c r="H72" s="24" t="s">
        <v>139</v>
      </c>
      <c r="I72" s="24" t="s">
        <v>129</v>
      </c>
      <c r="J72" s="29" t="s">
        <v>23</v>
      </c>
      <c r="K72" s="24"/>
      <c r="L72" s="24"/>
      <c r="M72" s="28" t="s">
        <v>309</v>
      </c>
      <c r="N72" s="28" t="s">
        <v>310</v>
      </c>
    </row>
    <row r="73" customFormat="false" ht="15" hidden="false" customHeight="false" outlineLevel="0" collapsed="false">
      <c r="A73" s="24" t="s">
        <v>70</v>
      </c>
      <c r="B73" s="24" t="s">
        <v>71</v>
      </c>
      <c r="C73" s="24" t="s">
        <v>62</v>
      </c>
      <c r="D73" s="32" t="s">
        <v>12</v>
      </c>
      <c r="E73" s="24" t="n">
        <v>4</v>
      </c>
      <c r="F73" s="24" t="s">
        <v>137</v>
      </c>
      <c r="G73" s="24" t="s">
        <v>188</v>
      </c>
      <c r="H73" s="24" t="s">
        <v>139</v>
      </c>
      <c r="I73" s="24" t="s">
        <v>129</v>
      </c>
      <c r="J73" s="24"/>
      <c r="K73" s="24"/>
      <c r="L73" s="24"/>
      <c r="M73" s="28"/>
      <c r="N73" s="28" t="s">
        <v>311</v>
      </c>
    </row>
    <row r="74" customFormat="false" ht="15" hidden="false" customHeight="false" outlineLevel="0" collapsed="false">
      <c r="A74" s="24" t="s">
        <v>70</v>
      </c>
      <c r="B74" s="24" t="s">
        <v>71</v>
      </c>
      <c r="C74" s="24" t="s">
        <v>62</v>
      </c>
      <c r="D74" s="32" t="s">
        <v>12</v>
      </c>
      <c r="E74" s="24" t="n">
        <v>5</v>
      </c>
      <c r="F74" s="24" t="s">
        <v>286</v>
      </c>
      <c r="G74" s="24" t="s">
        <v>133</v>
      </c>
      <c r="H74" s="24" t="s">
        <v>139</v>
      </c>
      <c r="I74" s="24" t="s">
        <v>129</v>
      </c>
      <c r="J74" s="24"/>
      <c r="K74" s="24"/>
      <c r="L74" s="24"/>
      <c r="M74" s="28"/>
      <c r="N74" s="28" t="s">
        <v>312</v>
      </c>
    </row>
    <row r="75" customFormat="false" ht="15" hidden="false" customHeight="false" outlineLevel="0" collapsed="false">
      <c r="A75" s="24" t="s">
        <v>70</v>
      </c>
      <c r="B75" s="24" t="s">
        <v>71</v>
      </c>
      <c r="C75" s="24" t="s">
        <v>62</v>
      </c>
      <c r="D75" s="32" t="s">
        <v>12</v>
      </c>
      <c r="E75" s="24" t="n">
        <v>6</v>
      </c>
      <c r="F75" s="24" t="s">
        <v>313</v>
      </c>
      <c r="G75" s="24" t="s">
        <v>167</v>
      </c>
      <c r="H75" s="24" t="s">
        <v>139</v>
      </c>
      <c r="I75" s="24" t="s">
        <v>156</v>
      </c>
      <c r="J75" s="24"/>
      <c r="K75" s="24"/>
      <c r="L75" s="24"/>
      <c r="M75" s="28" t="s">
        <v>314</v>
      </c>
      <c r="N75" s="28" t="s">
        <v>315</v>
      </c>
    </row>
    <row r="76" customFormat="false" ht="15" hidden="false" customHeight="false" outlineLevel="0" collapsed="false">
      <c r="A76" s="24" t="s">
        <v>70</v>
      </c>
      <c r="B76" s="24" t="s">
        <v>71</v>
      </c>
      <c r="C76" s="24" t="s">
        <v>62</v>
      </c>
      <c r="D76" s="32" t="s">
        <v>12</v>
      </c>
      <c r="E76" s="24" t="n">
        <v>7</v>
      </c>
      <c r="F76" s="24" t="s">
        <v>316</v>
      </c>
      <c r="G76" s="24" t="s">
        <v>142</v>
      </c>
      <c r="H76" s="24" t="s">
        <v>143</v>
      </c>
      <c r="I76" s="24" t="s">
        <v>129</v>
      </c>
      <c r="J76" s="24"/>
      <c r="K76" s="24"/>
      <c r="L76" s="24" t="s">
        <v>144</v>
      </c>
      <c r="M76" s="28"/>
      <c r="N76" s="28" t="s">
        <v>317</v>
      </c>
    </row>
    <row r="77" customFormat="false" ht="15" hidden="false" customHeight="false" outlineLevel="0" collapsed="false">
      <c r="A77" s="24" t="s">
        <v>70</v>
      </c>
      <c r="B77" s="24" t="s">
        <v>71</v>
      </c>
      <c r="C77" s="24" t="s">
        <v>62</v>
      </c>
      <c r="D77" s="32" t="s">
        <v>12</v>
      </c>
      <c r="E77" s="24" t="n">
        <v>8</v>
      </c>
      <c r="F77" s="24" t="s">
        <v>289</v>
      </c>
      <c r="G77" s="24" t="s">
        <v>290</v>
      </c>
      <c r="H77" s="24" t="s">
        <v>139</v>
      </c>
      <c r="I77" s="24" t="s">
        <v>156</v>
      </c>
      <c r="J77" s="24"/>
      <c r="K77" s="24"/>
      <c r="L77" s="24"/>
      <c r="M77" s="28" t="s">
        <v>318</v>
      </c>
      <c r="N77" s="28" t="s">
        <v>319</v>
      </c>
    </row>
    <row r="78" customFormat="false" ht="15" hidden="false" customHeight="false" outlineLevel="0" collapsed="false">
      <c r="A78" s="24" t="s">
        <v>70</v>
      </c>
      <c r="B78" s="24" t="s">
        <v>71</v>
      </c>
      <c r="C78" s="24" t="s">
        <v>62</v>
      </c>
      <c r="D78" s="32" t="s">
        <v>12</v>
      </c>
      <c r="E78" s="24" t="n">
        <v>9</v>
      </c>
      <c r="F78" s="24" t="s">
        <v>173</v>
      </c>
      <c r="G78" s="24" t="s">
        <v>174</v>
      </c>
      <c r="H78" s="24" t="s">
        <v>175</v>
      </c>
      <c r="I78" s="24" t="s">
        <v>129</v>
      </c>
      <c r="J78" s="24"/>
      <c r="K78" s="24"/>
      <c r="L78" s="24" t="s">
        <v>176</v>
      </c>
      <c r="M78" s="28" t="s">
        <v>254</v>
      </c>
      <c r="N78" s="28" t="s">
        <v>255</v>
      </c>
    </row>
    <row r="79" customFormat="false" ht="15" hidden="false" customHeight="false" outlineLevel="0" collapsed="false">
      <c r="A79" s="24" t="s">
        <v>70</v>
      </c>
      <c r="B79" s="24" t="s">
        <v>71</v>
      </c>
      <c r="C79" s="24" t="s">
        <v>62</v>
      </c>
      <c r="D79" s="32" t="s">
        <v>12</v>
      </c>
      <c r="E79" s="24" t="n">
        <v>10</v>
      </c>
      <c r="F79" s="24" t="s">
        <v>256</v>
      </c>
      <c r="G79" s="24" t="s">
        <v>174</v>
      </c>
      <c r="H79" s="24" t="s">
        <v>257</v>
      </c>
      <c r="I79" s="24" t="s">
        <v>129</v>
      </c>
      <c r="J79" s="24"/>
      <c r="K79" s="24"/>
      <c r="L79" s="24" t="s">
        <v>176</v>
      </c>
      <c r="M79" s="28" t="s">
        <v>254</v>
      </c>
      <c r="N79" s="28" t="s">
        <v>258</v>
      </c>
    </row>
    <row r="80" customFormat="false" ht="15" hidden="false" customHeight="false" outlineLevel="0" collapsed="false">
      <c r="A80" s="24" t="s">
        <v>73</v>
      </c>
      <c r="B80" s="24" t="s">
        <v>74</v>
      </c>
      <c r="C80" s="24" t="s">
        <v>62</v>
      </c>
      <c r="D80" s="32" t="s">
        <v>12</v>
      </c>
      <c r="E80" s="24" t="n">
        <v>1</v>
      </c>
      <c r="F80" s="26" t="s">
        <v>126</v>
      </c>
      <c r="G80" s="24" t="s">
        <v>127</v>
      </c>
      <c r="H80" s="24" t="s">
        <v>128</v>
      </c>
      <c r="I80" s="24" t="s">
        <v>129</v>
      </c>
      <c r="J80" s="27" t="s">
        <v>19</v>
      </c>
      <c r="K80" s="24"/>
      <c r="L80" s="24" t="s">
        <v>130</v>
      </c>
      <c r="M80" s="28"/>
      <c r="N80" s="28" t="s">
        <v>131</v>
      </c>
    </row>
    <row r="81" customFormat="false" ht="23.85" hidden="false" customHeight="false" outlineLevel="0" collapsed="false">
      <c r="A81" s="24" t="s">
        <v>73</v>
      </c>
      <c r="B81" s="24" t="s">
        <v>74</v>
      </c>
      <c r="C81" s="24" t="s">
        <v>62</v>
      </c>
      <c r="D81" s="32" t="s">
        <v>12</v>
      </c>
      <c r="E81" s="24" t="n">
        <v>2</v>
      </c>
      <c r="F81" s="24" t="s">
        <v>199</v>
      </c>
      <c r="G81" s="24" t="s">
        <v>127</v>
      </c>
      <c r="H81" s="24" t="s">
        <v>200</v>
      </c>
      <c r="I81" s="24" t="s">
        <v>129</v>
      </c>
      <c r="J81" s="30" t="s">
        <v>21</v>
      </c>
      <c r="K81" s="24" t="s">
        <v>237</v>
      </c>
      <c r="L81" s="24"/>
      <c r="M81" s="28" t="s">
        <v>238</v>
      </c>
      <c r="N81" s="28" t="s">
        <v>239</v>
      </c>
    </row>
    <row r="82" customFormat="false" ht="15" hidden="false" customHeight="false" outlineLevel="0" collapsed="false">
      <c r="A82" s="24" t="s">
        <v>73</v>
      </c>
      <c r="B82" s="24" t="s">
        <v>74</v>
      </c>
      <c r="C82" s="24" t="s">
        <v>62</v>
      </c>
      <c r="D82" s="32" t="s">
        <v>12</v>
      </c>
      <c r="E82" s="24" t="n">
        <v>3</v>
      </c>
      <c r="F82" s="24" t="s">
        <v>320</v>
      </c>
      <c r="G82" s="24" t="s">
        <v>127</v>
      </c>
      <c r="H82" s="24" t="s">
        <v>321</v>
      </c>
      <c r="I82" s="24" t="s">
        <v>149</v>
      </c>
      <c r="J82" s="30" t="s">
        <v>21</v>
      </c>
      <c r="K82" s="24" t="s">
        <v>322</v>
      </c>
      <c r="L82" s="24"/>
      <c r="M82" s="28" t="s">
        <v>323</v>
      </c>
      <c r="N82" s="28" t="s">
        <v>324</v>
      </c>
    </row>
    <row r="83" customFormat="false" ht="15" hidden="false" customHeight="false" outlineLevel="0" collapsed="false">
      <c r="A83" s="24" t="s">
        <v>73</v>
      </c>
      <c r="B83" s="24" t="s">
        <v>74</v>
      </c>
      <c r="C83" s="24" t="s">
        <v>62</v>
      </c>
      <c r="D83" s="32" t="s">
        <v>12</v>
      </c>
      <c r="E83" s="24" t="n">
        <v>4</v>
      </c>
      <c r="F83" s="24" t="s">
        <v>325</v>
      </c>
      <c r="G83" s="24" t="s">
        <v>272</v>
      </c>
      <c r="H83" s="24" t="s">
        <v>196</v>
      </c>
      <c r="I83" s="24" t="s">
        <v>129</v>
      </c>
      <c r="J83" s="24"/>
      <c r="K83" s="24"/>
      <c r="L83" s="24"/>
      <c r="M83" s="28" t="s">
        <v>326</v>
      </c>
      <c r="N83" s="28" t="s">
        <v>327</v>
      </c>
    </row>
    <row r="84" customFormat="false" ht="15" hidden="false" customHeight="false" outlineLevel="0" collapsed="false">
      <c r="A84" s="24" t="s">
        <v>73</v>
      </c>
      <c r="B84" s="24" t="s">
        <v>74</v>
      </c>
      <c r="C84" s="24" t="s">
        <v>62</v>
      </c>
      <c r="D84" s="32" t="s">
        <v>12</v>
      </c>
      <c r="E84" s="24" t="n">
        <v>5</v>
      </c>
      <c r="F84" s="24" t="s">
        <v>328</v>
      </c>
      <c r="G84" s="24" t="s">
        <v>329</v>
      </c>
      <c r="H84" s="24" t="s">
        <v>330</v>
      </c>
      <c r="I84" s="24" t="s">
        <v>129</v>
      </c>
      <c r="J84" s="24"/>
      <c r="K84" s="24"/>
      <c r="L84" s="24"/>
      <c r="M84" s="28" t="s">
        <v>331</v>
      </c>
      <c r="N84" s="28" t="s">
        <v>332</v>
      </c>
    </row>
    <row r="85" customFormat="false" ht="15" hidden="false" customHeight="false" outlineLevel="0" collapsed="false">
      <c r="A85" s="24" t="s">
        <v>73</v>
      </c>
      <c r="B85" s="24" t="s">
        <v>74</v>
      </c>
      <c r="C85" s="24" t="s">
        <v>62</v>
      </c>
      <c r="D85" s="32" t="s">
        <v>12</v>
      </c>
      <c r="E85" s="24" t="n">
        <v>6</v>
      </c>
      <c r="F85" s="24" t="s">
        <v>333</v>
      </c>
      <c r="G85" s="24" t="s">
        <v>267</v>
      </c>
      <c r="H85" s="24" t="s">
        <v>268</v>
      </c>
      <c r="I85" s="24" t="s">
        <v>129</v>
      </c>
      <c r="J85" s="24"/>
      <c r="K85" s="24"/>
      <c r="L85" s="24"/>
      <c r="M85" s="28" t="s">
        <v>334</v>
      </c>
      <c r="N85" s="28" t="s">
        <v>335</v>
      </c>
    </row>
    <row r="86" customFormat="false" ht="15" hidden="false" customHeight="false" outlineLevel="0" collapsed="false">
      <c r="A86" s="24" t="s">
        <v>73</v>
      </c>
      <c r="B86" s="24" t="s">
        <v>74</v>
      </c>
      <c r="C86" s="24" t="s">
        <v>62</v>
      </c>
      <c r="D86" s="32" t="s">
        <v>12</v>
      </c>
      <c r="E86" s="24" t="n">
        <v>7</v>
      </c>
      <c r="F86" s="24" t="s">
        <v>173</v>
      </c>
      <c r="G86" s="24" t="s">
        <v>174</v>
      </c>
      <c r="H86" s="24" t="s">
        <v>175</v>
      </c>
      <c r="I86" s="24" t="s">
        <v>129</v>
      </c>
      <c r="J86" s="24"/>
      <c r="K86" s="24"/>
      <c r="L86" s="24" t="s">
        <v>176</v>
      </c>
      <c r="M86" s="28" t="s">
        <v>254</v>
      </c>
      <c r="N86" s="28" t="s">
        <v>255</v>
      </c>
    </row>
    <row r="87" customFormat="false" ht="15" hidden="false" customHeight="false" outlineLevel="0" collapsed="false">
      <c r="A87" s="24" t="s">
        <v>73</v>
      </c>
      <c r="B87" s="24" t="s">
        <v>74</v>
      </c>
      <c r="C87" s="24" t="s">
        <v>62</v>
      </c>
      <c r="D87" s="32" t="s">
        <v>12</v>
      </c>
      <c r="E87" s="24" t="n">
        <v>8</v>
      </c>
      <c r="F87" s="24" t="s">
        <v>256</v>
      </c>
      <c r="G87" s="24" t="s">
        <v>174</v>
      </c>
      <c r="H87" s="24" t="s">
        <v>257</v>
      </c>
      <c r="I87" s="24" t="s">
        <v>129</v>
      </c>
      <c r="J87" s="24"/>
      <c r="K87" s="24"/>
      <c r="L87" s="24" t="s">
        <v>176</v>
      </c>
      <c r="M87" s="28" t="s">
        <v>254</v>
      </c>
      <c r="N87" s="28" t="s">
        <v>258</v>
      </c>
    </row>
    <row r="88" customFormat="false" ht="15" hidden="false" customHeight="false" outlineLevel="0" collapsed="false">
      <c r="A88" s="24" t="s">
        <v>76</v>
      </c>
      <c r="B88" s="24" t="s">
        <v>77</v>
      </c>
      <c r="C88" s="24" t="s">
        <v>78</v>
      </c>
      <c r="D88" s="32" t="s">
        <v>12</v>
      </c>
      <c r="E88" s="24" t="n">
        <v>1</v>
      </c>
      <c r="F88" s="26" t="s">
        <v>126</v>
      </c>
      <c r="G88" s="24" t="s">
        <v>127</v>
      </c>
      <c r="H88" s="24" t="s">
        <v>128</v>
      </c>
      <c r="I88" s="24" t="s">
        <v>129</v>
      </c>
      <c r="J88" s="27" t="s">
        <v>19</v>
      </c>
      <c r="K88" s="24"/>
      <c r="L88" s="24" t="s">
        <v>130</v>
      </c>
      <c r="M88" s="28"/>
      <c r="N88" s="28" t="s">
        <v>131</v>
      </c>
    </row>
    <row r="89" customFormat="false" ht="23.85" hidden="false" customHeight="false" outlineLevel="0" collapsed="false">
      <c r="A89" s="24" t="s">
        <v>76</v>
      </c>
      <c r="B89" s="24" t="s">
        <v>77</v>
      </c>
      <c r="C89" s="24" t="s">
        <v>78</v>
      </c>
      <c r="D89" s="32" t="s">
        <v>12</v>
      </c>
      <c r="E89" s="24" t="n">
        <v>2</v>
      </c>
      <c r="F89" s="24" t="s">
        <v>199</v>
      </c>
      <c r="G89" s="24" t="s">
        <v>127</v>
      </c>
      <c r="H89" s="24" t="s">
        <v>200</v>
      </c>
      <c r="I89" s="24" t="s">
        <v>129</v>
      </c>
      <c r="J89" s="30" t="s">
        <v>21</v>
      </c>
      <c r="K89" s="24" t="s">
        <v>237</v>
      </c>
      <c r="L89" s="24"/>
      <c r="M89" s="28" t="s">
        <v>238</v>
      </c>
      <c r="N89" s="28" t="s">
        <v>239</v>
      </c>
    </row>
    <row r="90" customFormat="false" ht="15" hidden="false" customHeight="false" outlineLevel="0" collapsed="false">
      <c r="A90" s="24" t="s">
        <v>76</v>
      </c>
      <c r="B90" s="24" t="s">
        <v>77</v>
      </c>
      <c r="C90" s="24" t="s">
        <v>78</v>
      </c>
      <c r="D90" s="32" t="s">
        <v>12</v>
      </c>
      <c r="E90" s="24" t="n">
        <v>3</v>
      </c>
      <c r="F90" s="24" t="s">
        <v>240</v>
      </c>
      <c r="G90" s="24" t="s">
        <v>127</v>
      </c>
      <c r="H90" s="24" t="s">
        <v>241</v>
      </c>
      <c r="I90" s="24" t="s">
        <v>129</v>
      </c>
      <c r="J90" s="30" t="s">
        <v>21</v>
      </c>
      <c r="K90" s="24" t="s">
        <v>336</v>
      </c>
      <c r="L90" s="24"/>
      <c r="M90" s="28" t="s">
        <v>337</v>
      </c>
      <c r="N90" s="28" t="s">
        <v>338</v>
      </c>
    </row>
    <row r="91" customFormat="false" ht="15" hidden="false" customHeight="false" outlineLevel="0" collapsed="false">
      <c r="A91" s="24" t="s">
        <v>76</v>
      </c>
      <c r="B91" s="24" t="s">
        <v>77</v>
      </c>
      <c r="C91" s="24" t="s">
        <v>78</v>
      </c>
      <c r="D91" s="32" t="s">
        <v>12</v>
      </c>
      <c r="E91" s="24" t="n">
        <v>4</v>
      </c>
      <c r="F91" s="24" t="s">
        <v>339</v>
      </c>
      <c r="G91" s="24" t="s">
        <v>267</v>
      </c>
      <c r="H91" s="24" t="s">
        <v>268</v>
      </c>
      <c r="I91" s="24" t="s">
        <v>129</v>
      </c>
      <c r="J91" s="29" t="s">
        <v>23</v>
      </c>
      <c r="K91" s="24"/>
      <c r="L91" s="24"/>
      <c r="M91" s="28" t="s">
        <v>340</v>
      </c>
      <c r="N91" s="28" t="s">
        <v>341</v>
      </c>
    </row>
    <row r="92" customFormat="false" ht="23.85" hidden="false" customHeight="false" outlineLevel="0" collapsed="false">
      <c r="A92" s="24" t="s">
        <v>76</v>
      </c>
      <c r="B92" s="24" t="s">
        <v>77</v>
      </c>
      <c r="C92" s="24" t="s">
        <v>78</v>
      </c>
      <c r="D92" s="32" t="s">
        <v>12</v>
      </c>
      <c r="E92" s="24" t="n">
        <v>5</v>
      </c>
      <c r="F92" s="24" t="s">
        <v>229</v>
      </c>
      <c r="G92" s="24" t="s">
        <v>195</v>
      </c>
      <c r="H92" s="24" t="s">
        <v>196</v>
      </c>
      <c r="I92" s="24" t="s">
        <v>129</v>
      </c>
      <c r="J92" s="24"/>
      <c r="K92" s="24"/>
      <c r="L92" s="24" t="s">
        <v>342</v>
      </c>
      <c r="M92" s="28" t="s">
        <v>343</v>
      </c>
      <c r="N92" s="28" t="s">
        <v>344</v>
      </c>
    </row>
    <row r="93" customFormat="false" ht="15" hidden="false" customHeight="false" outlineLevel="0" collapsed="false">
      <c r="A93" s="24" t="s">
        <v>76</v>
      </c>
      <c r="B93" s="24" t="s">
        <v>77</v>
      </c>
      <c r="C93" s="24" t="s">
        <v>78</v>
      </c>
      <c r="D93" s="32" t="s">
        <v>12</v>
      </c>
      <c r="E93" s="24" t="n">
        <v>6</v>
      </c>
      <c r="F93" s="24" t="s">
        <v>345</v>
      </c>
      <c r="G93" s="24" t="s">
        <v>267</v>
      </c>
      <c r="H93" s="24" t="s">
        <v>268</v>
      </c>
      <c r="I93" s="24" t="s">
        <v>129</v>
      </c>
      <c r="J93" s="24"/>
      <c r="K93" s="24"/>
      <c r="L93" s="24" t="s">
        <v>346</v>
      </c>
      <c r="M93" s="28" t="s">
        <v>347</v>
      </c>
      <c r="N93" s="28" t="s">
        <v>348</v>
      </c>
    </row>
    <row r="94" customFormat="false" ht="15" hidden="false" customHeight="false" outlineLevel="0" collapsed="false">
      <c r="A94" s="24" t="s">
        <v>76</v>
      </c>
      <c r="B94" s="24" t="s">
        <v>77</v>
      </c>
      <c r="C94" s="24" t="s">
        <v>78</v>
      </c>
      <c r="D94" s="32" t="s">
        <v>12</v>
      </c>
      <c r="E94" s="24" t="n">
        <v>7</v>
      </c>
      <c r="F94" s="24" t="s">
        <v>349</v>
      </c>
      <c r="G94" s="24" t="s">
        <v>267</v>
      </c>
      <c r="H94" s="24" t="s">
        <v>268</v>
      </c>
      <c r="I94" s="24" t="s">
        <v>129</v>
      </c>
      <c r="J94" s="24"/>
      <c r="K94" s="24"/>
      <c r="L94" s="24" t="s">
        <v>346</v>
      </c>
      <c r="M94" s="28" t="s">
        <v>350</v>
      </c>
      <c r="N94" s="28" t="s">
        <v>351</v>
      </c>
    </row>
    <row r="95" customFormat="false" ht="15" hidden="false" customHeight="false" outlineLevel="0" collapsed="false">
      <c r="A95" s="24" t="s">
        <v>76</v>
      </c>
      <c r="B95" s="24" t="s">
        <v>77</v>
      </c>
      <c r="C95" s="24" t="s">
        <v>78</v>
      </c>
      <c r="D95" s="32" t="s">
        <v>12</v>
      </c>
      <c r="E95" s="24" t="n">
        <v>8</v>
      </c>
      <c r="F95" s="24" t="s">
        <v>352</v>
      </c>
      <c r="G95" s="24" t="s">
        <v>267</v>
      </c>
      <c r="H95" s="24" t="s">
        <v>268</v>
      </c>
      <c r="I95" s="24" t="s">
        <v>129</v>
      </c>
      <c r="J95" s="24"/>
      <c r="K95" s="24"/>
      <c r="L95" s="24" t="s">
        <v>346</v>
      </c>
      <c r="M95" s="28" t="s">
        <v>353</v>
      </c>
      <c r="N95" s="28" t="s">
        <v>354</v>
      </c>
    </row>
    <row r="96" customFormat="false" ht="15" hidden="false" customHeight="false" outlineLevel="0" collapsed="false">
      <c r="A96" s="24" t="s">
        <v>76</v>
      </c>
      <c r="B96" s="24" t="s">
        <v>77</v>
      </c>
      <c r="C96" s="24" t="s">
        <v>78</v>
      </c>
      <c r="D96" s="32" t="s">
        <v>12</v>
      </c>
      <c r="E96" s="24" t="n">
        <v>9</v>
      </c>
      <c r="F96" s="24" t="s">
        <v>355</v>
      </c>
      <c r="G96" s="24" t="s">
        <v>174</v>
      </c>
      <c r="H96" s="24" t="s">
        <v>249</v>
      </c>
      <c r="I96" s="24" t="s">
        <v>149</v>
      </c>
      <c r="J96" s="24"/>
      <c r="K96" s="24"/>
      <c r="L96" s="24"/>
      <c r="M96" s="28"/>
      <c r="N96" s="28" t="s">
        <v>356</v>
      </c>
    </row>
    <row r="97" customFormat="false" ht="15" hidden="false" customHeight="false" outlineLevel="0" collapsed="false">
      <c r="A97" s="24" t="s">
        <v>76</v>
      </c>
      <c r="B97" s="24" t="s">
        <v>77</v>
      </c>
      <c r="C97" s="24" t="s">
        <v>78</v>
      </c>
      <c r="D97" s="32" t="s">
        <v>12</v>
      </c>
      <c r="E97" s="24" t="n">
        <v>10</v>
      </c>
      <c r="F97" s="24" t="s">
        <v>357</v>
      </c>
      <c r="G97" s="24" t="s">
        <v>174</v>
      </c>
      <c r="H97" s="24" t="s">
        <v>249</v>
      </c>
      <c r="I97" s="24" t="s">
        <v>149</v>
      </c>
      <c r="J97" s="24"/>
      <c r="K97" s="24"/>
      <c r="L97" s="24"/>
      <c r="M97" s="28" t="s">
        <v>358</v>
      </c>
      <c r="N97" s="28" t="s">
        <v>359</v>
      </c>
    </row>
    <row r="98" customFormat="false" ht="15" hidden="false" customHeight="false" outlineLevel="0" collapsed="false">
      <c r="A98" s="24" t="s">
        <v>76</v>
      </c>
      <c r="B98" s="24" t="s">
        <v>77</v>
      </c>
      <c r="C98" s="24" t="s">
        <v>78</v>
      </c>
      <c r="D98" s="32" t="s">
        <v>12</v>
      </c>
      <c r="E98" s="24" t="n">
        <v>11</v>
      </c>
      <c r="F98" s="24" t="s">
        <v>173</v>
      </c>
      <c r="G98" s="24" t="s">
        <v>174</v>
      </c>
      <c r="H98" s="24" t="s">
        <v>175</v>
      </c>
      <c r="I98" s="24" t="s">
        <v>129</v>
      </c>
      <c r="J98" s="24"/>
      <c r="K98" s="24"/>
      <c r="L98" s="24" t="s">
        <v>176</v>
      </c>
      <c r="M98" s="28" t="s">
        <v>254</v>
      </c>
      <c r="N98" s="28" t="s">
        <v>255</v>
      </c>
    </row>
    <row r="99" customFormat="false" ht="15" hidden="false" customHeight="false" outlineLevel="0" collapsed="false">
      <c r="A99" s="24" t="s">
        <v>76</v>
      </c>
      <c r="B99" s="24" t="s">
        <v>77</v>
      </c>
      <c r="C99" s="24" t="s">
        <v>78</v>
      </c>
      <c r="D99" s="32" t="s">
        <v>12</v>
      </c>
      <c r="E99" s="24" t="n">
        <v>12</v>
      </c>
      <c r="F99" s="24" t="s">
        <v>256</v>
      </c>
      <c r="G99" s="24" t="s">
        <v>174</v>
      </c>
      <c r="H99" s="24" t="s">
        <v>257</v>
      </c>
      <c r="I99" s="24" t="s">
        <v>129</v>
      </c>
      <c r="J99" s="24"/>
      <c r="K99" s="24"/>
      <c r="L99" s="24" t="s">
        <v>176</v>
      </c>
      <c r="M99" s="28" t="s">
        <v>254</v>
      </c>
      <c r="N99" s="28" t="s">
        <v>258</v>
      </c>
    </row>
    <row r="100" customFormat="false" ht="15" hidden="false" customHeight="false" outlineLevel="0" collapsed="false">
      <c r="A100" s="24" t="s">
        <v>80</v>
      </c>
      <c r="B100" s="24" t="s">
        <v>81</v>
      </c>
      <c r="C100" s="24" t="s">
        <v>78</v>
      </c>
      <c r="D100" s="32" t="s">
        <v>12</v>
      </c>
      <c r="E100" s="24" t="n">
        <v>1</v>
      </c>
      <c r="F100" s="26" t="s">
        <v>126</v>
      </c>
      <c r="G100" s="24" t="s">
        <v>127</v>
      </c>
      <c r="H100" s="24" t="s">
        <v>128</v>
      </c>
      <c r="I100" s="24" t="s">
        <v>129</v>
      </c>
      <c r="J100" s="27" t="s">
        <v>19</v>
      </c>
      <c r="K100" s="24"/>
      <c r="L100" s="24" t="s">
        <v>130</v>
      </c>
      <c r="M100" s="28"/>
      <c r="N100" s="28" t="s">
        <v>131</v>
      </c>
    </row>
    <row r="101" customFormat="false" ht="23.85" hidden="false" customHeight="false" outlineLevel="0" collapsed="false">
      <c r="A101" s="24" t="s">
        <v>80</v>
      </c>
      <c r="B101" s="24" t="s">
        <v>81</v>
      </c>
      <c r="C101" s="24" t="s">
        <v>78</v>
      </c>
      <c r="D101" s="32" t="s">
        <v>12</v>
      </c>
      <c r="E101" s="24" t="n">
        <v>2</v>
      </c>
      <c r="F101" s="24" t="s">
        <v>199</v>
      </c>
      <c r="G101" s="24" t="s">
        <v>127</v>
      </c>
      <c r="H101" s="24" t="s">
        <v>200</v>
      </c>
      <c r="I101" s="24" t="s">
        <v>129</v>
      </c>
      <c r="J101" s="30" t="s">
        <v>21</v>
      </c>
      <c r="K101" s="24" t="s">
        <v>237</v>
      </c>
      <c r="L101" s="24"/>
      <c r="M101" s="28" t="s">
        <v>238</v>
      </c>
      <c r="N101" s="28" t="s">
        <v>239</v>
      </c>
    </row>
    <row r="102" customFormat="false" ht="15" hidden="false" customHeight="false" outlineLevel="0" collapsed="false">
      <c r="A102" s="24" t="s">
        <v>80</v>
      </c>
      <c r="B102" s="24" t="s">
        <v>81</v>
      </c>
      <c r="C102" s="24" t="s">
        <v>78</v>
      </c>
      <c r="D102" s="32" t="s">
        <v>12</v>
      </c>
      <c r="E102" s="24" t="n">
        <v>3</v>
      </c>
      <c r="F102" s="24" t="s">
        <v>360</v>
      </c>
      <c r="G102" s="24" t="s">
        <v>127</v>
      </c>
      <c r="H102" s="24" t="s">
        <v>361</v>
      </c>
      <c r="I102" s="24" t="s">
        <v>129</v>
      </c>
      <c r="J102" s="30" t="s">
        <v>21</v>
      </c>
      <c r="K102" s="24" t="s">
        <v>362</v>
      </c>
      <c r="L102" s="24"/>
      <c r="M102" s="28"/>
      <c r="N102" s="28" t="s">
        <v>363</v>
      </c>
    </row>
    <row r="103" customFormat="false" ht="15" hidden="false" customHeight="false" outlineLevel="0" collapsed="false">
      <c r="A103" s="24" t="s">
        <v>80</v>
      </c>
      <c r="B103" s="24" t="s">
        <v>81</v>
      </c>
      <c r="C103" s="24" t="s">
        <v>78</v>
      </c>
      <c r="D103" s="32" t="s">
        <v>12</v>
      </c>
      <c r="E103" s="24" t="n">
        <v>4</v>
      </c>
      <c r="F103" s="24" t="s">
        <v>296</v>
      </c>
      <c r="G103" s="24" t="s">
        <v>127</v>
      </c>
      <c r="H103" s="24" t="s">
        <v>297</v>
      </c>
      <c r="I103" s="24" t="s">
        <v>149</v>
      </c>
      <c r="J103" s="30" t="s">
        <v>21</v>
      </c>
      <c r="K103" s="24" t="s">
        <v>364</v>
      </c>
      <c r="L103" s="24"/>
      <c r="M103" s="28" t="s">
        <v>365</v>
      </c>
      <c r="N103" s="28" t="s">
        <v>366</v>
      </c>
    </row>
    <row r="104" customFormat="false" ht="15" hidden="false" customHeight="false" outlineLevel="0" collapsed="false">
      <c r="A104" s="24" t="s">
        <v>80</v>
      </c>
      <c r="B104" s="24" t="s">
        <v>81</v>
      </c>
      <c r="C104" s="24" t="s">
        <v>78</v>
      </c>
      <c r="D104" s="32" t="s">
        <v>12</v>
      </c>
      <c r="E104" s="24" t="n">
        <v>5</v>
      </c>
      <c r="F104" s="24" t="s">
        <v>320</v>
      </c>
      <c r="G104" s="24" t="s">
        <v>127</v>
      </c>
      <c r="H104" s="24" t="s">
        <v>321</v>
      </c>
      <c r="I104" s="24" t="s">
        <v>149</v>
      </c>
      <c r="J104" s="30" t="s">
        <v>21</v>
      </c>
      <c r="K104" s="24" t="s">
        <v>367</v>
      </c>
      <c r="L104" s="24"/>
      <c r="M104" s="28" t="s">
        <v>365</v>
      </c>
      <c r="N104" s="28" t="s">
        <v>368</v>
      </c>
    </row>
    <row r="105" customFormat="false" ht="15" hidden="false" customHeight="false" outlineLevel="0" collapsed="false">
      <c r="A105" s="24" t="s">
        <v>80</v>
      </c>
      <c r="B105" s="24" t="s">
        <v>81</v>
      </c>
      <c r="C105" s="24" t="s">
        <v>78</v>
      </c>
      <c r="D105" s="32" t="s">
        <v>12</v>
      </c>
      <c r="E105" s="24" t="n">
        <v>6</v>
      </c>
      <c r="F105" s="24" t="s">
        <v>306</v>
      </c>
      <c r="G105" s="24" t="s">
        <v>369</v>
      </c>
      <c r="H105" s="24" t="s">
        <v>330</v>
      </c>
      <c r="I105" s="24" t="s">
        <v>129</v>
      </c>
      <c r="J105" s="24"/>
      <c r="K105" s="24"/>
      <c r="L105" s="24"/>
      <c r="M105" s="28" t="s">
        <v>370</v>
      </c>
      <c r="N105" s="28" t="s">
        <v>371</v>
      </c>
    </row>
    <row r="106" customFormat="false" ht="23.85" hidden="false" customHeight="false" outlineLevel="0" collapsed="false">
      <c r="A106" s="24" t="s">
        <v>80</v>
      </c>
      <c r="B106" s="24" t="s">
        <v>81</v>
      </c>
      <c r="C106" s="24" t="s">
        <v>78</v>
      </c>
      <c r="D106" s="32" t="s">
        <v>12</v>
      </c>
      <c r="E106" s="24" t="n">
        <v>7</v>
      </c>
      <c r="F106" s="24" t="s">
        <v>372</v>
      </c>
      <c r="G106" s="24" t="s">
        <v>267</v>
      </c>
      <c r="H106" s="24" t="s">
        <v>268</v>
      </c>
      <c r="I106" s="24" t="s">
        <v>129</v>
      </c>
      <c r="J106" s="24"/>
      <c r="K106" s="24"/>
      <c r="L106" s="24"/>
      <c r="M106" s="28" t="s">
        <v>373</v>
      </c>
      <c r="N106" s="28" t="s">
        <v>374</v>
      </c>
    </row>
    <row r="107" customFormat="false" ht="15" hidden="false" customHeight="false" outlineLevel="0" collapsed="false">
      <c r="A107" s="24" t="s">
        <v>80</v>
      </c>
      <c r="B107" s="24" t="s">
        <v>81</v>
      </c>
      <c r="C107" s="24" t="s">
        <v>78</v>
      </c>
      <c r="D107" s="32" t="s">
        <v>12</v>
      </c>
      <c r="E107" s="24" t="n">
        <v>8</v>
      </c>
      <c r="F107" s="24" t="s">
        <v>345</v>
      </c>
      <c r="G107" s="24" t="s">
        <v>267</v>
      </c>
      <c r="H107" s="24" t="s">
        <v>268</v>
      </c>
      <c r="I107" s="24" t="s">
        <v>129</v>
      </c>
      <c r="J107" s="24"/>
      <c r="K107" s="24"/>
      <c r="L107" s="24"/>
      <c r="M107" s="28" t="s">
        <v>375</v>
      </c>
      <c r="N107" s="28" t="s">
        <v>376</v>
      </c>
    </row>
    <row r="108" customFormat="false" ht="15" hidden="false" customHeight="false" outlineLevel="0" collapsed="false">
      <c r="A108" s="24" t="s">
        <v>80</v>
      </c>
      <c r="B108" s="24" t="s">
        <v>81</v>
      </c>
      <c r="C108" s="24" t="s">
        <v>78</v>
      </c>
      <c r="D108" s="32" t="s">
        <v>12</v>
      </c>
      <c r="E108" s="24" t="n">
        <v>9</v>
      </c>
      <c r="F108" s="24" t="s">
        <v>173</v>
      </c>
      <c r="G108" s="24" t="s">
        <v>174</v>
      </c>
      <c r="H108" s="24" t="s">
        <v>175</v>
      </c>
      <c r="I108" s="24" t="s">
        <v>129</v>
      </c>
      <c r="J108" s="24"/>
      <c r="K108" s="24"/>
      <c r="L108" s="24" t="s">
        <v>176</v>
      </c>
      <c r="M108" s="28" t="s">
        <v>254</v>
      </c>
      <c r="N108" s="28" t="s">
        <v>255</v>
      </c>
    </row>
    <row r="109" customFormat="false" ht="15" hidden="false" customHeight="false" outlineLevel="0" collapsed="false">
      <c r="A109" s="24" t="s">
        <v>80</v>
      </c>
      <c r="B109" s="24" t="s">
        <v>81</v>
      </c>
      <c r="C109" s="24" t="s">
        <v>78</v>
      </c>
      <c r="D109" s="32" t="s">
        <v>12</v>
      </c>
      <c r="E109" s="24" t="n">
        <v>10</v>
      </c>
      <c r="F109" s="24" t="s">
        <v>256</v>
      </c>
      <c r="G109" s="24" t="s">
        <v>174</v>
      </c>
      <c r="H109" s="24" t="s">
        <v>257</v>
      </c>
      <c r="I109" s="24" t="s">
        <v>129</v>
      </c>
      <c r="J109" s="24"/>
      <c r="K109" s="24"/>
      <c r="L109" s="24" t="s">
        <v>176</v>
      </c>
      <c r="M109" s="28" t="s">
        <v>254</v>
      </c>
      <c r="N109" s="28" t="s">
        <v>258</v>
      </c>
    </row>
    <row r="110" customFormat="false" ht="15" hidden="false" customHeight="false" outlineLevel="0" collapsed="false">
      <c r="A110" s="24" t="s">
        <v>83</v>
      </c>
      <c r="B110" s="24" t="s">
        <v>84</v>
      </c>
      <c r="C110" s="24" t="s">
        <v>85</v>
      </c>
      <c r="D110" s="32" t="s">
        <v>12</v>
      </c>
      <c r="E110" s="24" t="n">
        <v>1</v>
      </c>
      <c r="F110" s="26" t="s">
        <v>126</v>
      </c>
      <c r="G110" s="24" t="s">
        <v>127</v>
      </c>
      <c r="H110" s="24" t="s">
        <v>128</v>
      </c>
      <c r="I110" s="24" t="s">
        <v>129</v>
      </c>
      <c r="J110" s="27" t="s">
        <v>19</v>
      </c>
      <c r="K110" s="24"/>
      <c r="L110" s="24" t="s">
        <v>130</v>
      </c>
      <c r="M110" s="28"/>
      <c r="N110" s="28" t="s">
        <v>131</v>
      </c>
    </row>
    <row r="111" customFormat="false" ht="23.85" hidden="false" customHeight="false" outlineLevel="0" collapsed="false">
      <c r="A111" s="24" t="s">
        <v>83</v>
      </c>
      <c r="B111" s="24" t="s">
        <v>84</v>
      </c>
      <c r="C111" s="24" t="s">
        <v>85</v>
      </c>
      <c r="D111" s="32" t="s">
        <v>12</v>
      </c>
      <c r="E111" s="24" t="n">
        <v>2</v>
      </c>
      <c r="F111" s="24" t="s">
        <v>199</v>
      </c>
      <c r="G111" s="24" t="s">
        <v>127</v>
      </c>
      <c r="H111" s="24" t="s">
        <v>200</v>
      </c>
      <c r="I111" s="24" t="s">
        <v>129</v>
      </c>
      <c r="J111" s="30" t="s">
        <v>21</v>
      </c>
      <c r="K111" s="24" t="s">
        <v>237</v>
      </c>
      <c r="L111" s="24"/>
      <c r="M111" s="28" t="s">
        <v>238</v>
      </c>
      <c r="N111" s="28" t="s">
        <v>239</v>
      </c>
    </row>
    <row r="112" customFormat="false" ht="15" hidden="false" customHeight="false" outlineLevel="0" collapsed="false">
      <c r="A112" s="24" t="s">
        <v>83</v>
      </c>
      <c r="B112" s="24" t="s">
        <v>84</v>
      </c>
      <c r="C112" s="24" t="s">
        <v>85</v>
      </c>
      <c r="D112" s="32" t="s">
        <v>12</v>
      </c>
      <c r="E112" s="24" t="n">
        <v>3</v>
      </c>
      <c r="F112" s="24" t="s">
        <v>377</v>
      </c>
      <c r="G112" s="24" t="s">
        <v>127</v>
      </c>
      <c r="H112" s="24" t="s">
        <v>241</v>
      </c>
      <c r="I112" s="24" t="s">
        <v>129</v>
      </c>
      <c r="J112" s="30" t="s">
        <v>21</v>
      </c>
      <c r="K112" s="24" t="s">
        <v>336</v>
      </c>
      <c r="L112" s="24"/>
      <c r="M112" s="28"/>
      <c r="N112" s="28" t="s">
        <v>378</v>
      </c>
    </row>
    <row r="113" customFormat="false" ht="15" hidden="false" customHeight="false" outlineLevel="0" collapsed="false">
      <c r="A113" s="24" t="s">
        <v>83</v>
      </c>
      <c r="B113" s="24" t="s">
        <v>84</v>
      </c>
      <c r="C113" s="24" t="s">
        <v>85</v>
      </c>
      <c r="D113" s="32" t="s">
        <v>12</v>
      </c>
      <c r="E113" s="24" t="n">
        <v>4</v>
      </c>
      <c r="F113" s="24" t="s">
        <v>379</v>
      </c>
      <c r="G113" s="24" t="s">
        <v>272</v>
      </c>
      <c r="H113" s="24" t="s">
        <v>196</v>
      </c>
      <c r="I113" s="24" t="s">
        <v>129</v>
      </c>
      <c r="J113" s="24"/>
      <c r="K113" s="24"/>
      <c r="L113" s="24"/>
      <c r="M113" s="28" t="s">
        <v>380</v>
      </c>
      <c r="N113" s="28" t="s">
        <v>381</v>
      </c>
    </row>
    <row r="114" customFormat="false" ht="15" hidden="false" customHeight="false" outlineLevel="0" collapsed="false">
      <c r="A114" s="24" t="s">
        <v>83</v>
      </c>
      <c r="B114" s="24" t="s">
        <v>84</v>
      </c>
      <c r="C114" s="24" t="s">
        <v>85</v>
      </c>
      <c r="D114" s="32" t="s">
        <v>12</v>
      </c>
      <c r="E114" s="24" t="n">
        <v>5</v>
      </c>
      <c r="F114" s="24" t="s">
        <v>382</v>
      </c>
      <c r="G114" s="24" t="s">
        <v>290</v>
      </c>
      <c r="H114" s="24" t="s">
        <v>139</v>
      </c>
      <c r="I114" s="24" t="s">
        <v>129</v>
      </c>
      <c r="J114" s="24"/>
      <c r="K114" s="24"/>
      <c r="L114" s="24"/>
      <c r="M114" s="28" t="s">
        <v>383</v>
      </c>
      <c r="N114" s="28" t="s">
        <v>384</v>
      </c>
    </row>
    <row r="115" customFormat="false" ht="15" hidden="false" customHeight="false" outlineLevel="0" collapsed="false">
      <c r="A115" s="24" t="s">
        <v>83</v>
      </c>
      <c r="B115" s="24" t="s">
        <v>84</v>
      </c>
      <c r="C115" s="24" t="s">
        <v>85</v>
      </c>
      <c r="D115" s="32" t="s">
        <v>12</v>
      </c>
      <c r="E115" s="24" t="n">
        <v>6</v>
      </c>
      <c r="F115" s="24" t="s">
        <v>229</v>
      </c>
      <c r="G115" s="24" t="s">
        <v>195</v>
      </c>
      <c r="H115" s="24" t="s">
        <v>196</v>
      </c>
      <c r="I115" s="24" t="s">
        <v>129</v>
      </c>
      <c r="J115" s="24"/>
      <c r="K115" s="24"/>
      <c r="L115" s="24" t="s">
        <v>385</v>
      </c>
      <c r="M115" s="28" t="s">
        <v>386</v>
      </c>
      <c r="N115" s="28" t="s">
        <v>387</v>
      </c>
    </row>
    <row r="116" customFormat="false" ht="15" hidden="false" customHeight="false" outlineLevel="0" collapsed="false">
      <c r="A116" s="24" t="s">
        <v>83</v>
      </c>
      <c r="B116" s="24" t="s">
        <v>84</v>
      </c>
      <c r="C116" s="24" t="s">
        <v>85</v>
      </c>
      <c r="D116" s="32" t="s">
        <v>12</v>
      </c>
      <c r="E116" s="24" t="n">
        <v>7</v>
      </c>
      <c r="F116" s="24" t="s">
        <v>388</v>
      </c>
      <c r="G116" s="24" t="s">
        <v>267</v>
      </c>
      <c r="H116" s="24" t="s">
        <v>268</v>
      </c>
      <c r="I116" s="24" t="s">
        <v>129</v>
      </c>
      <c r="J116" s="24"/>
      <c r="K116" s="24"/>
      <c r="L116" s="24" t="s">
        <v>346</v>
      </c>
      <c r="M116" s="28"/>
      <c r="N116" s="28" t="s">
        <v>389</v>
      </c>
    </row>
    <row r="117" customFormat="false" ht="15" hidden="false" customHeight="false" outlineLevel="0" collapsed="false">
      <c r="A117" s="24" t="s">
        <v>83</v>
      </c>
      <c r="B117" s="24" t="s">
        <v>84</v>
      </c>
      <c r="C117" s="24" t="s">
        <v>85</v>
      </c>
      <c r="D117" s="32" t="s">
        <v>12</v>
      </c>
      <c r="E117" s="24" t="n">
        <v>8</v>
      </c>
      <c r="F117" s="24" t="s">
        <v>390</v>
      </c>
      <c r="G117" s="24" t="s">
        <v>267</v>
      </c>
      <c r="H117" s="24" t="s">
        <v>268</v>
      </c>
      <c r="I117" s="24" t="s">
        <v>129</v>
      </c>
      <c r="J117" s="24"/>
      <c r="K117" s="24"/>
      <c r="L117" s="24" t="s">
        <v>346</v>
      </c>
      <c r="M117" s="28"/>
      <c r="N117" s="28" t="s">
        <v>391</v>
      </c>
    </row>
    <row r="118" customFormat="false" ht="15" hidden="false" customHeight="false" outlineLevel="0" collapsed="false">
      <c r="A118" s="24" t="s">
        <v>83</v>
      </c>
      <c r="B118" s="24" t="s">
        <v>84</v>
      </c>
      <c r="C118" s="24" t="s">
        <v>85</v>
      </c>
      <c r="D118" s="32" t="s">
        <v>12</v>
      </c>
      <c r="E118" s="24" t="n">
        <v>9</v>
      </c>
      <c r="F118" s="24" t="s">
        <v>392</v>
      </c>
      <c r="G118" s="24" t="s">
        <v>267</v>
      </c>
      <c r="H118" s="24" t="s">
        <v>268</v>
      </c>
      <c r="I118" s="24" t="s">
        <v>129</v>
      </c>
      <c r="J118" s="24"/>
      <c r="K118" s="24"/>
      <c r="L118" s="24" t="s">
        <v>346</v>
      </c>
      <c r="M118" s="28"/>
      <c r="N118" s="28" t="s">
        <v>393</v>
      </c>
    </row>
    <row r="119" customFormat="false" ht="15" hidden="false" customHeight="false" outlineLevel="0" collapsed="false">
      <c r="A119" s="24" t="s">
        <v>83</v>
      </c>
      <c r="B119" s="24" t="s">
        <v>84</v>
      </c>
      <c r="C119" s="24" t="s">
        <v>85</v>
      </c>
      <c r="D119" s="32" t="s">
        <v>12</v>
      </c>
      <c r="E119" s="24" t="n">
        <v>10</v>
      </c>
      <c r="F119" s="24" t="s">
        <v>394</v>
      </c>
      <c r="G119" s="24" t="s">
        <v>395</v>
      </c>
      <c r="H119" s="24" t="s">
        <v>396</v>
      </c>
      <c r="I119" s="24" t="s">
        <v>149</v>
      </c>
      <c r="J119" s="24"/>
      <c r="K119" s="24"/>
      <c r="L119" s="24"/>
      <c r="M119" s="28" t="s">
        <v>397</v>
      </c>
      <c r="N119" s="28" t="s">
        <v>398</v>
      </c>
    </row>
    <row r="120" customFormat="false" ht="15" hidden="false" customHeight="false" outlineLevel="0" collapsed="false">
      <c r="A120" s="24" t="s">
        <v>83</v>
      </c>
      <c r="B120" s="24" t="s">
        <v>84</v>
      </c>
      <c r="C120" s="24" t="s">
        <v>85</v>
      </c>
      <c r="D120" s="32" t="s">
        <v>12</v>
      </c>
      <c r="E120" s="24" t="n">
        <v>11</v>
      </c>
      <c r="F120" s="24" t="s">
        <v>173</v>
      </c>
      <c r="G120" s="24" t="s">
        <v>174</v>
      </c>
      <c r="H120" s="24" t="s">
        <v>175</v>
      </c>
      <c r="I120" s="24" t="s">
        <v>129</v>
      </c>
      <c r="J120" s="24"/>
      <c r="K120" s="24"/>
      <c r="L120" s="24" t="s">
        <v>176</v>
      </c>
      <c r="M120" s="28" t="s">
        <v>254</v>
      </c>
      <c r="N120" s="28" t="s">
        <v>255</v>
      </c>
    </row>
    <row r="121" customFormat="false" ht="15" hidden="false" customHeight="false" outlineLevel="0" collapsed="false">
      <c r="A121" s="24" t="s">
        <v>83</v>
      </c>
      <c r="B121" s="24" t="s">
        <v>84</v>
      </c>
      <c r="C121" s="24" t="s">
        <v>85</v>
      </c>
      <c r="D121" s="32" t="s">
        <v>12</v>
      </c>
      <c r="E121" s="24" t="n">
        <v>12</v>
      </c>
      <c r="F121" s="24" t="s">
        <v>256</v>
      </c>
      <c r="G121" s="24" t="s">
        <v>174</v>
      </c>
      <c r="H121" s="24" t="s">
        <v>257</v>
      </c>
      <c r="I121" s="24" t="s">
        <v>129</v>
      </c>
      <c r="J121" s="24"/>
      <c r="K121" s="24"/>
      <c r="L121" s="24" t="s">
        <v>176</v>
      </c>
      <c r="M121" s="28" t="s">
        <v>254</v>
      </c>
      <c r="N121" s="28" t="s">
        <v>258</v>
      </c>
    </row>
    <row r="122" customFormat="false" ht="15" hidden="false" customHeight="false" outlineLevel="0" collapsed="false">
      <c r="A122" s="24" t="s">
        <v>87</v>
      </c>
      <c r="B122" s="24" t="s">
        <v>88</v>
      </c>
      <c r="C122" s="24" t="s">
        <v>89</v>
      </c>
      <c r="D122" s="32" t="s">
        <v>12</v>
      </c>
      <c r="E122" s="24" t="n">
        <v>1</v>
      </c>
      <c r="F122" s="26" t="s">
        <v>126</v>
      </c>
      <c r="G122" s="24" t="s">
        <v>127</v>
      </c>
      <c r="H122" s="24" t="s">
        <v>128</v>
      </c>
      <c r="I122" s="24" t="s">
        <v>129</v>
      </c>
      <c r="J122" s="27" t="s">
        <v>19</v>
      </c>
      <c r="K122" s="24"/>
      <c r="L122" s="24" t="s">
        <v>130</v>
      </c>
      <c r="M122" s="28"/>
      <c r="N122" s="28" t="s">
        <v>131</v>
      </c>
    </row>
    <row r="123" customFormat="false" ht="23.85" hidden="false" customHeight="false" outlineLevel="0" collapsed="false">
      <c r="A123" s="24" t="s">
        <v>87</v>
      </c>
      <c r="B123" s="24" t="s">
        <v>88</v>
      </c>
      <c r="C123" s="24" t="s">
        <v>89</v>
      </c>
      <c r="D123" s="32" t="s">
        <v>12</v>
      </c>
      <c r="E123" s="24" t="n">
        <v>2</v>
      </c>
      <c r="F123" s="24" t="s">
        <v>199</v>
      </c>
      <c r="G123" s="24" t="s">
        <v>127</v>
      </c>
      <c r="H123" s="24" t="s">
        <v>200</v>
      </c>
      <c r="I123" s="24" t="s">
        <v>129</v>
      </c>
      <c r="J123" s="30" t="s">
        <v>21</v>
      </c>
      <c r="K123" s="24" t="s">
        <v>237</v>
      </c>
      <c r="L123" s="24"/>
      <c r="M123" s="28" t="s">
        <v>238</v>
      </c>
      <c r="N123" s="28" t="s">
        <v>239</v>
      </c>
    </row>
    <row r="124" customFormat="false" ht="15" hidden="false" customHeight="false" outlineLevel="0" collapsed="false">
      <c r="A124" s="24" t="s">
        <v>87</v>
      </c>
      <c r="B124" s="24" t="s">
        <v>88</v>
      </c>
      <c r="C124" s="24" t="s">
        <v>89</v>
      </c>
      <c r="D124" s="32" t="s">
        <v>12</v>
      </c>
      <c r="E124" s="24" t="n">
        <v>3</v>
      </c>
      <c r="F124" s="24" t="s">
        <v>301</v>
      </c>
      <c r="G124" s="24" t="s">
        <v>127</v>
      </c>
      <c r="H124" s="24" t="s">
        <v>302</v>
      </c>
      <c r="I124" s="24" t="s">
        <v>129</v>
      </c>
      <c r="J124" s="30" t="s">
        <v>21</v>
      </c>
      <c r="K124" s="24" t="s">
        <v>303</v>
      </c>
      <c r="L124" s="24"/>
      <c r="M124" s="28"/>
      <c r="N124" s="28" t="s">
        <v>399</v>
      </c>
    </row>
    <row r="125" customFormat="false" ht="15" hidden="false" customHeight="false" outlineLevel="0" collapsed="false">
      <c r="A125" s="24" t="s">
        <v>87</v>
      </c>
      <c r="B125" s="24" t="s">
        <v>88</v>
      </c>
      <c r="C125" s="24" t="s">
        <v>89</v>
      </c>
      <c r="D125" s="32" t="s">
        <v>12</v>
      </c>
      <c r="E125" s="24" t="n">
        <v>4</v>
      </c>
      <c r="F125" s="24" t="s">
        <v>400</v>
      </c>
      <c r="G125" s="24" t="s">
        <v>401</v>
      </c>
      <c r="H125" s="24" t="s">
        <v>402</v>
      </c>
      <c r="I125" s="24" t="s">
        <v>129</v>
      </c>
      <c r="J125" s="24"/>
      <c r="K125" s="24"/>
      <c r="L125" s="24"/>
      <c r="M125" s="28" t="s">
        <v>403</v>
      </c>
      <c r="N125" s="28" t="s">
        <v>404</v>
      </c>
    </row>
    <row r="126" customFormat="false" ht="15" hidden="false" customHeight="false" outlineLevel="0" collapsed="false">
      <c r="A126" s="24" t="s">
        <v>87</v>
      </c>
      <c r="B126" s="24" t="s">
        <v>88</v>
      </c>
      <c r="C126" s="24" t="s">
        <v>89</v>
      </c>
      <c r="D126" s="32" t="s">
        <v>12</v>
      </c>
      <c r="E126" s="24" t="n">
        <v>5</v>
      </c>
      <c r="F126" s="24" t="s">
        <v>405</v>
      </c>
      <c r="G126" s="24" t="s">
        <v>267</v>
      </c>
      <c r="H126" s="24" t="s">
        <v>268</v>
      </c>
      <c r="I126" s="24" t="s">
        <v>129</v>
      </c>
      <c r="J126" s="24"/>
      <c r="K126" s="24"/>
      <c r="L126" s="24"/>
      <c r="M126" s="28"/>
      <c r="N126" s="28" t="s">
        <v>406</v>
      </c>
    </row>
    <row r="127" customFormat="false" ht="15" hidden="false" customHeight="false" outlineLevel="0" collapsed="false">
      <c r="A127" s="24" t="s">
        <v>87</v>
      </c>
      <c r="B127" s="24" t="s">
        <v>88</v>
      </c>
      <c r="C127" s="24" t="s">
        <v>89</v>
      </c>
      <c r="D127" s="32" t="s">
        <v>12</v>
      </c>
      <c r="E127" s="24" t="n">
        <v>6</v>
      </c>
      <c r="F127" s="24" t="s">
        <v>407</v>
      </c>
      <c r="G127" s="24" t="s">
        <v>267</v>
      </c>
      <c r="H127" s="24" t="s">
        <v>268</v>
      </c>
      <c r="I127" s="24" t="s">
        <v>129</v>
      </c>
      <c r="J127" s="24"/>
      <c r="K127" s="24"/>
      <c r="L127" s="24"/>
      <c r="M127" s="28" t="s">
        <v>408</v>
      </c>
      <c r="N127" s="28" t="s">
        <v>409</v>
      </c>
    </row>
    <row r="128" customFormat="false" ht="15" hidden="false" customHeight="false" outlineLevel="0" collapsed="false">
      <c r="A128" s="24" t="s">
        <v>87</v>
      </c>
      <c r="B128" s="24" t="s">
        <v>88</v>
      </c>
      <c r="C128" s="24" t="s">
        <v>89</v>
      </c>
      <c r="D128" s="32" t="s">
        <v>12</v>
      </c>
      <c r="E128" s="24" t="n">
        <v>7</v>
      </c>
      <c r="F128" s="24" t="s">
        <v>410</v>
      </c>
      <c r="G128" s="24" t="s">
        <v>272</v>
      </c>
      <c r="H128" s="24" t="s">
        <v>196</v>
      </c>
      <c r="I128" s="24" t="s">
        <v>129</v>
      </c>
      <c r="J128" s="24"/>
      <c r="K128" s="24"/>
      <c r="L128" s="24"/>
      <c r="M128" s="28" t="s">
        <v>411</v>
      </c>
      <c r="N128" s="28" t="s">
        <v>412</v>
      </c>
    </row>
    <row r="129" customFormat="false" ht="15" hidden="false" customHeight="false" outlineLevel="0" collapsed="false">
      <c r="A129" s="24" t="s">
        <v>87</v>
      </c>
      <c r="B129" s="24" t="s">
        <v>88</v>
      </c>
      <c r="C129" s="24" t="s">
        <v>89</v>
      </c>
      <c r="D129" s="32" t="s">
        <v>12</v>
      </c>
      <c r="E129" s="24" t="n">
        <v>8</v>
      </c>
      <c r="F129" s="24" t="s">
        <v>173</v>
      </c>
      <c r="G129" s="24" t="s">
        <v>174</v>
      </c>
      <c r="H129" s="24" t="s">
        <v>175</v>
      </c>
      <c r="I129" s="24" t="s">
        <v>129</v>
      </c>
      <c r="J129" s="24"/>
      <c r="K129" s="24"/>
      <c r="L129" s="24" t="s">
        <v>176</v>
      </c>
      <c r="M129" s="28" t="s">
        <v>254</v>
      </c>
      <c r="N129" s="28" t="s">
        <v>255</v>
      </c>
    </row>
    <row r="130" customFormat="false" ht="15" hidden="false" customHeight="false" outlineLevel="0" collapsed="false">
      <c r="A130" s="24" t="s">
        <v>87</v>
      </c>
      <c r="B130" s="24" t="s">
        <v>88</v>
      </c>
      <c r="C130" s="24" t="s">
        <v>89</v>
      </c>
      <c r="D130" s="32" t="s">
        <v>12</v>
      </c>
      <c r="E130" s="24" t="n">
        <v>9</v>
      </c>
      <c r="F130" s="24" t="s">
        <v>256</v>
      </c>
      <c r="G130" s="24" t="s">
        <v>174</v>
      </c>
      <c r="H130" s="24" t="s">
        <v>257</v>
      </c>
      <c r="I130" s="24" t="s">
        <v>129</v>
      </c>
      <c r="J130" s="24"/>
      <c r="K130" s="24"/>
      <c r="L130" s="24" t="s">
        <v>176</v>
      </c>
      <c r="M130" s="28" t="s">
        <v>254</v>
      </c>
      <c r="N130" s="28" t="s">
        <v>258</v>
      </c>
    </row>
    <row r="131" customFormat="false" ht="15" hidden="false" customHeight="false" outlineLevel="0" collapsed="false">
      <c r="A131" s="24" t="s">
        <v>91</v>
      </c>
      <c r="B131" s="24" t="s">
        <v>92</v>
      </c>
      <c r="C131" s="24" t="s">
        <v>89</v>
      </c>
      <c r="D131" s="32" t="s">
        <v>12</v>
      </c>
      <c r="E131" s="24" t="n">
        <v>1</v>
      </c>
      <c r="F131" s="26" t="s">
        <v>126</v>
      </c>
      <c r="G131" s="24" t="s">
        <v>127</v>
      </c>
      <c r="H131" s="24" t="s">
        <v>128</v>
      </c>
      <c r="I131" s="24" t="s">
        <v>129</v>
      </c>
      <c r="J131" s="27" t="s">
        <v>19</v>
      </c>
      <c r="K131" s="24"/>
      <c r="L131" s="24" t="s">
        <v>130</v>
      </c>
      <c r="M131" s="28"/>
      <c r="N131" s="28" t="s">
        <v>131</v>
      </c>
    </row>
    <row r="132" customFormat="false" ht="23.85" hidden="false" customHeight="false" outlineLevel="0" collapsed="false">
      <c r="A132" s="24" t="s">
        <v>91</v>
      </c>
      <c r="B132" s="24" t="s">
        <v>92</v>
      </c>
      <c r="C132" s="24" t="s">
        <v>89</v>
      </c>
      <c r="D132" s="32" t="s">
        <v>12</v>
      </c>
      <c r="E132" s="24" t="n">
        <v>2</v>
      </c>
      <c r="F132" s="24" t="s">
        <v>199</v>
      </c>
      <c r="G132" s="24" t="s">
        <v>127</v>
      </c>
      <c r="H132" s="24" t="s">
        <v>200</v>
      </c>
      <c r="I132" s="24" t="s">
        <v>129</v>
      </c>
      <c r="J132" s="30" t="s">
        <v>21</v>
      </c>
      <c r="K132" s="24" t="s">
        <v>237</v>
      </c>
      <c r="L132" s="24"/>
      <c r="M132" s="28" t="s">
        <v>238</v>
      </c>
      <c r="N132" s="28" t="s">
        <v>239</v>
      </c>
    </row>
    <row r="133" customFormat="false" ht="15" hidden="false" customHeight="false" outlineLevel="0" collapsed="false">
      <c r="A133" s="24" t="s">
        <v>91</v>
      </c>
      <c r="B133" s="24" t="s">
        <v>92</v>
      </c>
      <c r="C133" s="24" t="s">
        <v>89</v>
      </c>
      <c r="D133" s="32" t="s">
        <v>12</v>
      </c>
      <c r="E133" s="24" t="n">
        <v>3</v>
      </c>
      <c r="F133" s="24" t="s">
        <v>301</v>
      </c>
      <c r="G133" s="24" t="s">
        <v>127</v>
      </c>
      <c r="H133" s="24" t="s">
        <v>302</v>
      </c>
      <c r="I133" s="24" t="s">
        <v>129</v>
      </c>
      <c r="J133" s="30" t="s">
        <v>21</v>
      </c>
      <c r="K133" s="24" t="s">
        <v>413</v>
      </c>
      <c r="L133" s="24"/>
      <c r="M133" s="28"/>
      <c r="N133" s="28" t="s">
        <v>414</v>
      </c>
    </row>
    <row r="134" customFormat="false" ht="15" hidden="false" customHeight="false" outlineLevel="0" collapsed="false">
      <c r="A134" s="24" t="s">
        <v>91</v>
      </c>
      <c r="B134" s="24" t="s">
        <v>92</v>
      </c>
      <c r="C134" s="24" t="s">
        <v>89</v>
      </c>
      <c r="D134" s="32" t="s">
        <v>12</v>
      </c>
      <c r="E134" s="24" t="n">
        <v>4</v>
      </c>
      <c r="F134" s="24" t="s">
        <v>400</v>
      </c>
      <c r="G134" s="24" t="s">
        <v>401</v>
      </c>
      <c r="H134" s="24" t="s">
        <v>402</v>
      </c>
      <c r="I134" s="24" t="s">
        <v>129</v>
      </c>
      <c r="J134" s="24"/>
      <c r="K134" s="24"/>
      <c r="L134" s="24"/>
      <c r="M134" s="28" t="s">
        <v>415</v>
      </c>
      <c r="N134" s="28" t="s">
        <v>416</v>
      </c>
    </row>
    <row r="135" customFormat="false" ht="15" hidden="false" customHeight="false" outlineLevel="0" collapsed="false">
      <c r="A135" s="24" t="s">
        <v>91</v>
      </c>
      <c r="B135" s="24" t="s">
        <v>92</v>
      </c>
      <c r="C135" s="24" t="s">
        <v>89</v>
      </c>
      <c r="D135" s="32" t="s">
        <v>12</v>
      </c>
      <c r="E135" s="24" t="n">
        <v>5</v>
      </c>
      <c r="F135" s="24" t="s">
        <v>417</v>
      </c>
      <c r="G135" s="24" t="s">
        <v>369</v>
      </c>
      <c r="H135" s="24" t="s">
        <v>330</v>
      </c>
      <c r="I135" s="24" t="s">
        <v>129</v>
      </c>
      <c r="J135" s="24"/>
      <c r="K135" s="24"/>
      <c r="L135" s="24"/>
      <c r="M135" s="28" t="s">
        <v>418</v>
      </c>
      <c r="N135" s="28" t="s">
        <v>419</v>
      </c>
    </row>
    <row r="136" customFormat="false" ht="15" hidden="false" customHeight="false" outlineLevel="0" collapsed="false">
      <c r="A136" s="24" t="s">
        <v>91</v>
      </c>
      <c r="B136" s="24" t="s">
        <v>92</v>
      </c>
      <c r="C136" s="24" t="s">
        <v>89</v>
      </c>
      <c r="D136" s="32" t="s">
        <v>12</v>
      </c>
      <c r="E136" s="24" t="n">
        <v>6</v>
      </c>
      <c r="F136" s="24" t="s">
        <v>420</v>
      </c>
      <c r="G136" s="24" t="s">
        <v>262</v>
      </c>
      <c r="H136" s="24" t="s">
        <v>139</v>
      </c>
      <c r="I136" s="24" t="s">
        <v>129</v>
      </c>
      <c r="J136" s="24"/>
      <c r="K136" s="24"/>
      <c r="L136" s="24"/>
      <c r="M136" s="28" t="s">
        <v>421</v>
      </c>
      <c r="N136" s="28" t="s">
        <v>422</v>
      </c>
    </row>
    <row r="137" customFormat="false" ht="15" hidden="false" customHeight="false" outlineLevel="0" collapsed="false">
      <c r="A137" s="24" t="s">
        <v>91</v>
      </c>
      <c r="B137" s="24" t="s">
        <v>92</v>
      </c>
      <c r="C137" s="24" t="s">
        <v>89</v>
      </c>
      <c r="D137" s="32" t="s">
        <v>12</v>
      </c>
      <c r="E137" s="24" t="n">
        <v>7</v>
      </c>
      <c r="F137" s="24" t="s">
        <v>423</v>
      </c>
      <c r="G137" s="24" t="s">
        <v>195</v>
      </c>
      <c r="H137" s="24" t="s">
        <v>139</v>
      </c>
      <c r="I137" s="24" t="s">
        <v>129</v>
      </c>
      <c r="J137" s="24"/>
      <c r="K137" s="24"/>
      <c r="L137" s="24"/>
      <c r="M137" s="28"/>
      <c r="N137" s="28" t="s">
        <v>424</v>
      </c>
    </row>
    <row r="138" customFormat="false" ht="15" hidden="false" customHeight="false" outlineLevel="0" collapsed="false">
      <c r="A138" s="24" t="s">
        <v>91</v>
      </c>
      <c r="B138" s="24" t="s">
        <v>92</v>
      </c>
      <c r="C138" s="24" t="s">
        <v>89</v>
      </c>
      <c r="D138" s="32" t="s">
        <v>12</v>
      </c>
      <c r="E138" s="24" t="n">
        <v>8</v>
      </c>
      <c r="F138" s="24" t="s">
        <v>425</v>
      </c>
      <c r="G138" s="24" t="s">
        <v>142</v>
      </c>
      <c r="H138" s="24" t="s">
        <v>143</v>
      </c>
      <c r="I138" s="24" t="s">
        <v>129</v>
      </c>
      <c r="J138" s="24"/>
      <c r="K138" s="24"/>
      <c r="L138" s="24" t="s">
        <v>144</v>
      </c>
      <c r="M138" s="28" t="s">
        <v>426</v>
      </c>
      <c r="N138" s="28" t="s">
        <v>427</v>
      </c>
    </row>
    <row r="139" customFormat="false" ht="15" hidden="false" customHeight="false" outlineLevel="0" collapsed="false">
      <c r="A139" s="24" t="s">
        <v>91</v>
      </c>
      <c r="B139" s="24" t="s">
        <v>92</v>
      </c>
      <c r="C139" s="24" t="s">
        <v>89</v>
      </c>
      <c r="D139" s="32" t="s">
        <v>12</v>
      </c>
      <c r="E139" s="24" t="n">
        <v>9</v>
      </c>
      <c r="F139" s="24" t="s">
        <v>428</v>
      </c>
      <c r="G139" s="24" t="s">
        <v>174</v>
      </c>
      <c r="H139" s="24" t="s">
        <v>249</v>
      </c>
      <c r="I139" s="24" t="s">
        <v>129</v>
      </c>
      <c r="J139" s="24"/>
      <c r="K139" s="24"/>
      <c r="L139" s="24"/>
      <c r="M139" s="28"/>
      <c r="N139" s="28" t="s">
        <v>429</v>
      </c>
    </row>
    <row r="140" customFormat="false" ht="15" hidden="false" customHeight="false" outlineLevel="0" collapsed="false">
      <c r="A140" s="24" t="s">
        <v>91</v>
      </c>
      <c r="B140" s="24" t="s">
        <v>92</v>
      </c>
      <c r="C140" s="24" t="s">
        <v>89</v>
      </c>
      <c r="D140" s="32" t="s">
        <v>12</v>
      </c>
      <c r="E140" s="24" t="n">
        <v>10</v>
      </c>
      <c r="F140" s="24" t="s">
        <v>173</v>
      </c>
      <c r="G140" s="24" t="s">
        <v>174</v>
      </c>
      <c r="H140" s="24" t="s">
        <v>175</v>
      </c>
      <c r="I140" s="24" t="s">
        <v>129</v>
      </c>
      <c r="J140" s="24"/>
      <c r="K140" s="24"/>
      <c r="L140" s="24" t="s">
        <v>176</v>
      </c>
      <c r="M140" s="28" t="s">
        <v>254</v>
      </c>
      <c r="N140" s="28" t="s">
        <v>255</v>
      </c>
    </row>
    <row r="141" customFormat="false" ht="15" hidden="false" customHeight="false" outlineLevel="0" collapsed="false">
      <c r="A141" s="24" t="s">
        <v>91</v>
      </c>
      <c r="B141" s="24" t="s">
        <v>92</v>
      </c>
      <c r="C141" s="24" t="s">
        <v>89</v>
      </c>
      <c r="D141" s="32" t="s">
        <v>12</v>
      </c>
      <c r="E141" s="24" t="n">
        <v>11</v>
      </c>
      <c r="F141" s="24" t="s">
        <v>256</v>
      </c>
      <c r="G141" s="24" t="s">
        <v>174</v>
      </c>
      <c r="H141" s="24" t="s">
        <v>257</v>
      </c>
      <c r="I141" s="24" t="s">
        <v>129</v>
      </c>
      <c r="J141" s="24"/>
      <c r="K141" s="24"/>
      <c r="L141" s="24" t="s">
        <v>176</v>
      </c>
      <c r="M141" s="28" t="s">
        <v>254</v>
      </c>
      <c r="N141" s="28" t="s">
        <v>258</v>
      </c>
    </row>
    <row r="142" customFormat="false" ht="15" hidden="false" customHeight="false" outlineLevel="0" collapsed="false">
      <c r="A142" s="24" t="s">
        <v>94</v>
      </c>
      <c r="B142" s="24" t="s">
        <v>95</v>
      </c>
      <c r="C142" s="24" t="s">
        <v>89</v>
      </c>
      <c r="D142" s="32" t="s">
        <v>12</v>
      </c>
      <c r="E142" s="24" t="n">
        <v>1</v>
      </c>
      <c r="F142" s="26" t="s">
        <v>126</v>
      </c>
      <c r="G142" s="24" t="s">
        <v>127</v>
      </c>
      <c r="H142" s="24" t="s">
        <v>128</v>
      </c>
      <c r="I142" s="24" t="s">
        <v>129</v>
      </c>
      <c r="J142" s="27" t="s">
        <v>19</v>
      </c>
      <c r="K142" s="24"/>
      <c r="L142" s="24" t="s">
        <v>130</v>
      </c>
      <c r="M142" s="28"/>
      <c r="N142" s="28" t="s">
        <v>131</v>
      </c>
    </row>
    <row r="143" customFormat="false" ht="23.85" hidden="false" customHeight="false" outlineLevel="0" collapsed="false">
      <c r="A143" s="24" t="s">
        <v>94</v>
      </c>
      <c r="B143" s="24" t="s">
        <v>95</v>
      </c>
      <c r="C143" s="24" t="s">
        <v>89</v>
      </c>
      <c r="D143" s="32" t="s">
        <v>12</v>
      </c>
      <c r="E143" s="24" t="n">
        <v>2</v>
      </c>
      <c r="F143" s="24" t="s">
        <v>199</v>
      </c>
      <c r="G143" s="24" t="s">
        <v>127</v>
      </c>
      <c r="H143" s="24" t="s">
        <v>200</v>
      </c>
      <c r="I143" s="24" t="s">
        <v>129</v>
      </c>
      <c r="J143" s="30" t="s">
        <v>21</v>
      </c>
      <c r="K143" s="24" t="s">
        <v>237</v>
      </c>
      <c r="L143" s="24"/>
      <c r="M143" s="28" t="s">
        <v>238</v>
      </c>
      <c r="N143" s="28" t="s">
        <v>239</v>
      </c>
    </row>
    <row r="144" customFormat="false" ht="15" hidden="false" customHeight="false" outlineLevel="0" collapsed="false">
      <c r="A144" s="24" t="s">
        <v>94</v>
      </c>
      <c r="B144" s="24" t="s">
        <v>95</v>
      </c>
      <c r="C144" s="24" t="s">
        <v>89</v>
      </c>
      <c r="D144" s="32" t="s">
        <v>12</v>
      </c>
      <c r="E144" s="24" t="n">
        <v>3</v>
      </c>
      <c r="F144" s="24" t="s">
        <v>240</v>
      </c>
      <c r="G144" s="24" t="s">
        <v>127</v>
      </c>
      <c r="H144" s="24" t="s">
        <v>241</v>
      </c>
      <c r="I144" s="24" t="s">
        <v>129</v>
      </c>
      <c r="J144" s="30" t="s">
        <v>21</v>
      </c>
      <c r="K144" s="24" t="s">
        <v>242</v>
      </c>
      <c r="L144" s="24"/>
      <c r="M144" s="28"/>
      <c r="N144" s="28" t="s">
        <v>430</v>
      </c>
    </row>
    <row r="145" customFormat="false" ht="15" hidden="false" customHeight="false" outlineLevel="0" collapsed="false">
      <c r="A145" s="24" t="s">
        <v>94</v>
      </c>
      <c r="B145" s="24" t="s">
        <v>95</v>
      </c>
      <c r="C145" s="24" t="s">
        <v>89</v>
      </c>
      <c r="D145" s="32" t="s">
        <v>12</v>
      </c>
      <c r="E145" s="24" t="n">
        <v>4</v>
      </c>
      <c r="F145" s="24" t="s">
        <v>431</v>
      </c>
      <c r="G145" s="24" t="s">
        <v>267</v>
      </c>
      <c r="H145" s="24" t="s">
        <v>268</v>
      </c>
      <c r="I145" s="24" t="s">
        <v>129</v>
      </c>
      <c r="J145" s="24"/>
      <c r="K145" s="24"/>
      <c r="L145" s="24"/>
      <c r="M145" s="28"/>
      <c r="N145" s="28" t="s">
        <v>432</v>
      </c>
    </row>
    <row r="146" customFormat="false" ht="15" hidden="false" customHeight="false" outlineLevel="0" collapsed="false">
      <c r="A146" s="24" t="s">
        <v>94</v>
      </c>
      <c r="B146" s="24" t="s">
        <v>95</v>
      </c>
      <c r="C146" s="24" t="s">
        <v>89</v>
      </c>
      <c r="D146" s="32" t="s">
        <v>12</v>
      </c>
      <c r="E146" s="24" t="n">
        <v>5</v>
      </c>
      <c r="F146" s="24" t="s">
        <v>433</v>
      </c>
      <c r="G146" s="24" t="s">
        <v>267</v>
      </c>
      <c r="H146" s="24" t="s">
        <v>268</v>
      </c>
      <c r="I146" s="24" t="s">
        <v>129</v>
      </c>
      <c r="J146" s="24"/>
      <c r="K146" s="24"/>
      <c r="L146" s="24"/>
      <c r="M146" s="28"/>
      <c r="N146" s="28" t="s">
        <v>434</v>
      </c>
    </row>
    <row r="147" customFormat="false" ht="15" hidden="false" customHeight="false" outlineLevel="0" collapsed="false">
      <c r="A147" s="24" t="s">
        <v>94</v>
      </c>
      <c r="B147" s="24" t="s">
        <v>95</v>
      </c>
      <c r="C147" s="24" t="s">
        <v>89</v>
      </c>
      <c r="D147" s="32" t="s">
        <v>12</v>
      </c>
      <c r="E147" s="24" t="n">
        <v>6</v>
      </c>
      <c r="F147" s="24" t="s">
        <v>435</v>
      </c>
      <c r="G147" s="24" t="s">
        <v>267</v>
      </c>
      <c r="H147" s="24" t="s">
        <v>268</v>
      </c>
      <c r="I147" s="24" t="s">
        <v>129</v>
      </c>
      <c r="J147" s="24"/>
      <c r="K147" s="24"/>
      <c r="L147" s="24"/>
      <c r="M147" s="28" t="s">
        <v>408</v>
      </c>
      <c r="N147" s="28" t="s">
        <v>436</v>
      </c>
    </row>
    <row r="148" customFormat="false" ht="15" hidden="false" customHeight="false" outlineLevel="0" collapsed="false">
      <c r="A148" s="24" t="s">
        <v>94</v>
      </c>
      <c r="B148" s="24" t="s">
        <v>95</v>
      </c>
      <c r="C148" s="24" t="s">
        <v>89</v>
      </c>
      <c r="D148" s="32" t="s">
        <v>12</v>
      </c>
      <c r="E148" s="24" t="n">
        <v>7</v>
      </c>
      <c r="F148" s="24" t="s">
        <v>437</v>
      </c>
      <c r="G148" s="24" t="s">
        <v>223</v>
      </c>
      <c r="H148" s="24" t="s">
        <v>139</v>
      </c>
      <c r="I148" s="24" t="s">
        <v>129</v>
      </c>
      <c r="J148" s="24"/>
      <c r="K148" s="24"/>
      <c r="L148" s="24"/>
      <c r="M148" s="28"/>
      <c r="N148" s="28" t="s">
        <v>438</v>
      </c>
    </row>
    <row r="149" customFormat="false" ht="15" hidden="false" customHeight="false" outlineLevel="0" collapsed="false">
      <c r="A149" s="24" t="s">
        <v>94</v>
      </c>
      <c r="B149" s="24" t="s">
        <v>95</v>
      </c>
      <c r="C149" s="24" t="s">
        <v>89</v>
      </c>
      <c r="D149" s="32" t="s">
        <v>12</v>
      </c>
      <c r="E149" s="24" t="n">
        <v>8</v>
      </c>
      <c r="F149" s="24" t="s">
        <v>439</v>
      </c>
      <c r="G149" s="24" t="s">
        <v>440</v>
      </c>
      <c r="H149" s="24" t="s">
        <v>330</v>
      </c>
      <c r="I149" s="24" t="s">
        <v>149</v>
      </c>
      <c r="J149" s="24"/>
      <c r="K149" s="24"/>
      <c r="L149" s="24"/>
      <c r="M149" s="28" t="s">
        <v>441</v>
      </c>
      <c r="N149" s="28" t="s">
        <v>442</v>
      </c>
    </row>
    <row r="150" customFormat="false" ht="15" hidden="false" customHeight="false" outlineLevel="0" collapsed="false">
      <c r="A150" s="24" t="s">
        <v>94</v>
      </c>
      <c r="B150" s="24" t="s">
        <v>95</v>
      </c>
      <c r="C150" s="24" t="s">
        <v>89</v>
      </c>
      <c r="D150" s="32" t="s">
        <v>12</v>
      </c>
      <c r="E150" s="24" t="n">
        <v>9</v>
      </c>
      <c r="F150" s="24" t="s">
        <v>428</v>
      </c>
      <c r="G150" s="24" t="s">
        <v>174</v>
      </c>
      <c r="H150" s="24" t="s">
        <v>249</v>
      </c>
      <c r="I150" s="24" t="s">
        <v>129</v>
      </c>
      <c r="J150" s="24"/>
      <c r="K150" s="24"/>
      <c r="L150" s="24"/>
      <c r="M150" s="28"/>
      <c r="N150" s="28" t="s">
        <v>429</v>
      </c>
    </row>
    <row r="151" customFormat="false" ht="15" hidden="false" customHeight="false" outlineLevel="0" collapsed="false">
      <c r="A151" s="24" t="s">
        <v>94</v>
      </c>
      <c r="B151" s="24" t="s">
        <v>95</v>
      </c>
      <c r="C151" s="24" t="s">
        <v>89</v>
      </c>
      <c r="D151" s="32" t="s">
        <v>12</v>
      </c>
      <c r="E151" s="24" t="n">
        <v>10</v>
      </c>
      <c r="F151" s="24" t="s">
        <v>173</v>
      </c>
      <c r="G151" s="24" t="s">
        <v>174</v>
      </c>
      <c r="H151" s="24" t="s">
        <v>175</v>
      </c>
      <c r="I151" s="24" t="s">
        <v>129</v>
      </c>
      <c r="J151" s="24"/>
      <c r="K151" s="24"/>
      <c r="L151" s="24" t="s">
        <v>176</v>
      </c>
      <c r="M151" s="28" t="s">
        <v>254</v>
      </c>
      <c r="N151" s="28" t="s">
        <v>255</v>
      </c>
    </row>
    <row r="152" customFormat="false" ht="15" hidden="false" customHeight="false" outlineLevel="0" collapsed="false">
      <c r="A152" s="24" t="s">
        <v>94</v>
      </c>
      <c r="B152" s="24" t="s">
        <v>95</v>
      </c>
      <c r="C152" s="24" t="s">
        <v>89</v>
      </c>
      <c r="D152" s="32" t="s">
        <v>12</v>
      </c>
      <c r="E152" s="24" t="n">
        <v>11</v>
      </c>
      <c r="F152" s="24" t="s">
        <v>256</v>
      </c>
      <c r="G152" s="24" t="s">
        <v>174</v>
      </c>
      <c r="H152" s="24" t="s">
        <v>257</v>
      </c>
      <c r="I152" s="24" t="s">
        <v>129</v>
      </c>
      <c r="J152" s="24"/>
      <c r="K152" s="24"/>
      <c r="L152" s="24" t="s">
        <v>176</v>
      </c>
      <c r="M152" s="28" t="s">
        <v>254</v>
      </c>
      <c r="N152" s="28" t="s">
        <v>258</v>
      </c>
    </row>
    <row r="153" customFormat="false" ht="15" hidden="false" customHeight="false" outlineLevel="0" collapsed="false">
      <c r="A153" s="24" t="s">
        <v>97</v>
      </c>
      <c r="B153" s="24" t="s">
        <v>98</v>
      </c>
      <c r="C153" s="24" t="s">
        <v>89</v>
      </c>
      <c r="D153" s="32" t="s">
        <v>12</v>
      </c>
      <c r="E153" s="24" t="n">
        <v>1</v>
      </c>
      <c r="F153" s="26" t="s">
        <v>126</v>
      </c>
      <c r="G153" s="24" t="s">
        <v>127</v>
      </c>
      <c r="H153" s="24" t="s">
        <v>128</v>
      </c>
      <c r="I153" s="24" t="s">
        <v>129</v>
      </c>
      <c r="J153" s="27" t="s">
        <v>19</v>
      </c>
      <c r="K153" s="24"/>
      <c r="L153" s="24" t="s">
        <v>130</v>
      </c>
      <c r="M153" s="28"/>
      <c r="N153" s="28" t="s">
        <v>131</v>
      </c>
    </row>
    <row r="154" customFormat="false" ht="23.85" hidden="false" customHeight="false" outlineLevel="0" collapsed="false">
      <c r="A154" s="24" t="s">
        <v>97</v>
      </c>
      <c r="B154" s="24" t="s">
        <v>98</v>
      </c>
      <c r="C154" s="24" t="s">
        <v>89</v>
      </c>
      <c r="D154" s="32" t="s">
        <v>12</v>
      </c>
      <c r="E154" s="24" t="n">
        <v>2</v>
      </c>
      <c r="F154" s="24" t="s">
        <v>199</v>
      </c>
      <c r="G154" s="24" t="s">
        <v>127</v>
      </c>
      <c r="H154" s="24" t="s">
        <v>200</v>
      </c>
      <c r="I154" s="24" t="s">
        <v>129</v>
      </c>
      <c r="J154" s="30" t="s">
        <v>21</v>
      </c>
      <c r="K154" s="24" t="s">
        <v>237</v>
      </c>
      <c r="L154" s="24"/>
      <c r="M154" s="28" t="s">
        <v>238</v>
      </c>
      <c r="N154" s="28" t="s">
        <v>239</v>
      </c>
    </row>
    <row r="155" customFormat="false" ht="15" hidden="false" customHeight="false" outlineLevel="0" collapsed="false">
      <c r="A155" s="24" t="s">
        <v>97</v>
      </c>
      <c r="B155" s="24" t="s">
        <v>98</v>
      </c>
      <c r="C155" s="24" t="s">
        <v>89</v>
      </c>
      <c r="D155" s="32" t="s">
        <v>12</v>
      </c>
      <c r="E155" s="24" t="n">
        <v>3</v>
      </c>
      <c r="F155" s="24" t="s">
        <v>296</v>
      </c>
      <c r="G155" s="24" t="s">
        <v>127</v>
      </c>
      <c r="H155" s="24" t="s">
        <v>297</v>
      </c>
      <c r="I155" s="24" t="s">
        <v>129</v>
      </c>
      <c r="J155" s="30" t="s">
        <v>21</v>
      </c>
      <c r="K155" s="24" t="s">
        <v>298</v>
      </c>
      <c r="L155" s="24"/>
      <c r="M155" s="28"/>
      <c r="N155" s="28" t="s">
        <v>443</v>
      </c>
    </row>
    <row r="156" customFormat="false" ht="15" hidden="false" customHeight="false" outlineLevel="0" collapsed="false">
      <c r="A156" s="24" t="s">
        <v>97</v>
      </c>
      <c r="B156" s="24" t="s">
        <v>98</v>
      </c>
      <c r="C156" s="24" t="s">
        <v>89</v>
      </c>
      <c r="D156" s="32" t="s">
        <v>12</v>
      </c>
      <c r="E156" s="24" t="n">
        <v>4</v>
      </c>
      <c r="F156" s="24" t="s">
        <v>444</v>
      </c>
      <c r="G156" s="24" t="s">
        <v>267</v>
      </c>
      <c r="H156" s="24" t="s">
        <v>445</v>
      </c>
      <c r="I156" s="24" t="s">
        <v>129</v>
      </c>
      <c r="J156" s="24"/>
      <c r="K156" s="24"/>
      <c r="L156" s="24"/>
      <c r="M156" s="28" t="s">
        <v>446</v>
      </c>
      <c r="N156" s="28" t="s">
        <v>447</v>
      </c>
    </row>
    <row r="157" customFormat="false" ht="15" hidden="false" customHeight="false" outlineLevel="0" collapsed="false">
      <c r="A157" s="24" t="s">
        <v>97</v>
      </c>
      <c r="B157" s="24" t="s">
        <v>98</v>
      </c>
      <c r="C157" s="24" t="s">
        <v>89</v>
      </c>
      <c r="D157" s="32" t="s">
        <v>12</v>
      </c>
      <c r="E157" s="24" t="n">
        <v>5</v>
      </c>
      <c r="F157" s="24" t="s">
        <v>448</v>
      </c>
      <c r="G157" s="24" t="s">
        <v>226</v>
      </c>
      <c r="H157" s="24" t="s">
        <v>227</v>
      </c>
      <c r="I157" s="24" t="s">
        <v>129</v>
      </c>
      <c r="J157" s="24"/>
      <c r="K157" s="24"/>
      <c r="L157" s="24"/>
      <c r="M157" s="28"/>
      <c r="N157" s="28" t="s">
        <v>449</v>
      </c>
    </row>
    <row r="158" customFormat="false" ht="15" hidden="false" customHeight="false" outlineLevel="0" collapsed="false">
      <c r="A158" s="24" t="s">
        <v>97</v>
      </c>
      <c r="B158" s="24" t="s">
        <v>98</v>
      </c>
      <c r="C158" s="24" t="s">
        <v>89</v>
      </c>
      <c r="D158" s="32" t="s">
        <v>12</v>
      </c>
      <c r="E158" s="24" t="n">
        <v>6</v>
      </c>
      <c r="F158" s="24" t="s">
        <v>229</v>
      </c>
      <c r="G158" s="24" t="s">
        <v>195</v>
      </c>
      <c r="H158" s="24" t="s">
        <v>196</v>
      </c>
      <c r="I158" s="24" t="s">
        <v>129</v>
      </c>
      <c r="J158" s="24"/>
      <c r="K158" s="24"/>
      <c r="L158" s="24" t="s">
        <v>450</v>
      </c>
      <c r="M158" s="28" t="s">
        <v>451</v>
      </c>
      <c r="N158" s="28" t="s">
        <v>452</v>
      </c>
    </row>
    <row r="159" customFormat="false" ht="15" hidden="false" customHeight="false" outlineLevel="0" collapsed="false">
      <c r="A159" s="24" t="s">
        <v>97</v>
      </c>
      <c r="B159" s="24" t="s">
        <v>98</v>
      </c>
      <c r="C159" s="24" t="s">
        <v>89</v>
      </c>
      <c r="D159" s="32" t="s">
        <v>12</v>
      </c>
      <c r="E159" s="24" t="n">
        <v>7</v>
      </c>
      <c r="F159" s="24" t="s">
        <v>251</v>
      </c>
      <c r="G159" s="24" t="s">
        <v>127</v>
      </c>
      <c r="H159" s="24" t="s">
        <v>241</v>
      </c>
      <c r="I159" s="24" t="s">
        <v>149</v>
      </c>
      <c r="J159" s="30" t="s">
        <v>21</v>
      </c>
      <c r="K159" s="24" t="s">
        <v>252</v>
      </c>
      <c r="L159" s="24"/>
      <c r="M159" s="28"/>
      <c r="N159" s="28" t="s">
        <v>453</v>
      </c>
    </row>
    <row r="160" customFormat="false" ht="15" hidden="false" customHeight="false" outlineLevel="0" collapsed="false">
      <c r="A160" s="24" t="s">
        <v>97</v>
      </c>
      <c r="B160" s="24" t="s">
        <v>98</v>
      </c>
      <c r="C160" s="24" t="s">
        <v>89</v>
      </c>
      <c r="D160" s="32" t="s">
        <v>12</v>
      </c>
      <c r="E160" s="24" t="n">
        <v>8</v>
      </c>
      <c r="F160" s="24" t="s">
        <v>173</v>
      </c>
      <c r="G160" s="24" t="s">
        <v>174</v>
      </c>
      <c r="H160" s="24" t="s">
        <v>175</v>
      </c>
      <c r="I160" s="24" t="s">
        <v>129</v>
      </c>
      <c r="J160" s="24"/>
      <c r="K160" s="24"/>
      <c r="L160" s="24" t="s">
        <v>176</v>
      </c>
      <c r="M160" s="28" t="s">
        <v>254</v>
      </c>
      <c r="N160" s="28" t="s">
        <v>255</v>
      </c>
    </row>
    <row r="161" customFormat="false" ht="15" hidden="false" customHeight="false" outlineLevel="0" collapsed="false">
      <c r="A161" s="24" t="s">
        <v>97</v>
      </c>
      <c r="B161" s="24" t="s">
        <v>98</v>
      </c>
      <c r="C161" s="24" t="s">
        <v>89</v>
      </c>
      <c r="D161" s="32" t="s">
        <v>12</v>
      </c>
      <c r="E161" s="24" t="n">
        <v>9</v>
      </c>
      <c r="F161" s="24" t="s">
        <v>256</v>
      </c>
      <c r="G161" s="24" t="s">
        <v>174</v>
      </c>
      <c r="H161" s="24" t="s">
        <v>257</v>
      </c>
      <c r="I161" s="24" t="s">
        <v>129</v>
      </c>
      <c r="J161" s="24"/>
      <c r="K161" s="24"/>
      <c r="L161" s="24" t="s">
        <v>176</v>
      </c>
      <c r="M161" s="28" t="s">
        <v>254</v>
      </c>
      <c r="N161" s="28" t="s">
        <v>258</v>
      </c>
    </row>
    <row r="162" customFormat="false" ht="15" hidden="false" customHeight="false" outlineLevel="0" collapsed="false">
      <c r="A162" s="24" t="s">
        <v>100</v>
      </c>
      <c r="B162" s="24" t="s">
        <v>101</v>
      </c>
      <c r="C162" s="24" t="s">
        <v>102</v>
      </c>
      <c r="D162" s="33" t="s">
        <v>16</v>
      </c>
      <c r="E162" s="24" t="n">
        <v>1</v>
      </c>
      <c r="F162" s="26" t="s">
        <v>126</v>
      </c>
      <c r="G162" s="24" t="s">
        <v>127</v>
      </c>
      <c r="H162" s="24" t="s">
        <v>128</v>
      </c>
      <c r="I162" s="24" t="s">
        <v>129</v>
      </c>
      <c r="J162" s="27" t="s">
        <v>19</v>
      </c>
      <c r="K162" s="24"/>
      <c r="L162" s="24" t="s">
        <v>130</v>
      </c>
      <c r="M162" s="28"/>
      <c r="N162" s="28" t="s">
        <v>131</v>
      </c>
    </row>
    <row r="163" customFormat="false" ht="23.85" hidden="false" customHeight="false" outlineLevel="0" collapsed="false">
      <c r="A163" s="24" t="s">
        <v>100</v>
      </c>
      <c r="B163" s="24" t="s">
        <v>101</v>
      </c>
      <c r="C163" s="24" t="s">
        <v>102</v>
      </c>
      <c r="D163" s="33" t="s">
        <v>16</v>
      </c>
      <c r="E163" s="24" t="n">
        <v>2</v>
      </c>
      <c r="F163" s="24" t="s">
        <v>199</v>
      </c>
      <c r="G163" s="24" t="s">
        <v>127</v>
      </c>
      <c r="H163" s="24" t="s">
        <v>200</v>
      </c>
      <c r="I163" s="24" t="s">
        <v>129</v>
      </c>
      <c r="J163" s="30" t="s">
        <v>21</v>
      </c>
      <c r="K163" s="24" t="s">
        <v>237</v>
      </c>
      <c r="L163" s="24"/>
      <c r="M163" s="28" t="s">
        <v>238</v>
      </c>
      <c r="N163" s="28" t="s">
        <v>239</v>
      </c>
    </row>
    <row r="164" customFormat="false" ht="15" hidden="false" customHeight="false" outlineLevel="0" collapsed="false">
      <c r="A164" s="24" t="s">
        <v>100</v>
      </c>
      <c r="B164" s="24" t="s">
        <v>101</v>
      </c>
      <c r="C164" s="24" t="s">
        <v>102</v>
      </c>
      <c r="D164" s="33" t="s">
        <v>16</v>
      </c>
      <c r="E164" s="24" t="n">
        <v>3</v>
      </c>
      <c r="F164" s="24" t="s">
        <v>454</v>
      </c>
      <c r="G164" s="24" t="s">
        <v>455</v>
      </c>
      <c r="H164" s="24" t="s">
        <v>445</v>
      </c>
      <c r="I164" s="24" t="s">
        <v>129</v>
      </c>
      <c r="J164" s="24"/>
      <c r="K164" s="24"/>
      <c r="L164" s="24" t="s">
        <v>456</v>
      </c>
      <c r="M164" s="28"/>
      <c r="N164" s="28" t="s">
        <v>457</v>
      </c>
    </row>
    <row r="165" customFormat="false" ht="15" hidden="false" customHeight="false" outlineLevel="0" collapsed="false">
      <c r="A165" s="24" t="s">
        <v>100</v>
      </c>
      <c r="B165" s="24" t="s">
        <v>101</v>
      </c>
      <c r="C165" s="24" t="s">
        <v>102</v>
      </c>
      <c r="D165" s="33" t="s">
        <v>16</v>
      </c>
      <c r="E165" s="24" t="n">
        <v>4</v>
      </c>
      <c r="F165" s="24" t="s">
        <v>458</v>
      </c>
      <c r="G165" s="24" t="s">
        <v>455</v>
      </c>
      <c r="H165" s="24" t="s">
        <v>445</v>
      </c>
      <c r="I165" s="24" t="s">
        <v>129</v>
      </c>
      <c r="J165" s="24"/>
      <c r="K165" s="24"/>
      <c r="L165" s="24" t="s">
        <v>277</v>
      </c>
      <c r="M165" s="28"/>
      <c r="N165" s="28" t="s">
        <v>459</v>
      </c>
    </row>
    <row r="166" customFormat="false" ht="15" hidden="false" customHeight="false" outlineLevel="0" collapsed="false">
      <c r="A166" s="24" t="s">
        <v>100</v>
      </c>
      <c r="B166" s="24" t="s">
        <v>101</v>
      </c>
      <c r="C166" s="24" t="s">
        <v>102</v>
      </c>
      <c r="D166" s="33" t="s">
        <v>16</v>
      </c>
      <c r="E166" s="24" t="n">
        <v>5</v>
      </c>
      <c r="F166" s="24" t="s">
        <v>460</v>
      </c>
      <c r="G166" s="24" t="s">
        <v>455</v>
      </c>
      <c r="H166" s="24" t="s">
        <v>445</v>
      </c>
      <c r="I166" s="24" t="s">
        <v>129</v>
      </c>
      <c r="J166" s="24"/>
      <c r="K166" s="24"/>
      <c r="L166" s="24" t="s">
        <v>461</v>
      </c>
      <c r="M166" s="28"/>
      <c r="N166" s="28" t="s">
        <v>462</v>
      </c>
    </row>
    <row r="167" customFormat="false" ht="15" hidden="false" customHeight="false" outlineLevel="0" collapsed="false">
      <c r="A167" s="24" t="s">
        <v>100</v>
      </c>
      <c r="B167" s="24" t="s">
        <v>101</v>
      </c>
      <c r="C167" s="24" t="s">
        <v>102</v>
      </c>
      <c r="D167" s="33" t="s">
        <v>16</v>
      </c>
      <c r="E167" s="24" t="n">
        <v>6</v>
      </c>
      <c r="F167" s="24" t="s">
        <v>463</v>
      </c>
      <c r="G167" s="24" t="s">
        <v>455</v>
      </c>
      <c r="H167" s="24" t="s">
        <v>445</v>
      </c>
      <c r="I167" s="24" t="s">
        <v>129</v>
      </c>
      <c r="J167" s="24"/>
      <c r="K167" s="24"/>
      <c r="L167" s="24" t="s">
        <v>456</v>
      </c>
      <c r="M167" s="28"/>
      <c r="N167" s="28" t="s">
        <v>464</v>
      </c>
    </row>
    <row r="168" customFormat="false" ht="15" hidden="false" customHeight="false" outlineLevel="0" collapsed="false">
      <c r="A168" s="24" t="s">
        <v>100</v>
      </c>
      <c r="B168" s="24" t="s">
        <v>101</v>
      </c>
      <c r="C168" s="24" t="s">
        <v>102</v>
      </c>
      <c r="D168" s="33" t="s">
        <v>16</v>
      </c>
      <c r="E168" s="24" t="n">
        <v>7</v>
      </c>
      <c r="F168" s="24" t="s">
        <v>465</v>
      </c>
      <c r="G168" s="24" t="s">
        <v>142</v>
      </c>
      <c r="H168" s="24" t="s">
        <v>143</v>
      </c>
      <c r="I168" s="24" t="s">
        <v>129</v>
      </c>
      <c r="J168" s="24"/>
      <c r="K168" s="24"/>
      <c r="L168" s="24" t="s">
        <v>207</v>
      </c>
      <c r="M168" s="28"/>
      <c r="N168" s="28" t="s">
        <v>466</v>
      </c>
    </row>
    <row r="169" customFormat="false" ht="15" hidden="false" customHeight="false" outlineLevel="0" collapsed="false">
      <c r="A169" s="24" t="s">
        <v>100</v>
      </c>
      <c r="B169" s="24" t="s">
        <v>101</v>
      </c>
      <c r="C169" s="24" t="s">
        <v>102</v>
      </c>
      <c r="D169" s="33" t="s">
        <v>16</v>
      </c>
      <c r="E169" s="24" t="n">
        <v>8</v>
      </c>
      <c r="F169" s="24" t="s">
        <v>467</v>
      </c>
      <c r="G169" s="24" t="s">
        <v>468</v>
      </c>
      <c r="H169" s="24" t="s">
        <v>139</v>
      </c>
      <c r="I169" s="24" t="s">
        <v>156</v>
      </c>
      <c r="J169" s="24"/>
      <c r="K169" s="24"/>
      <c r="L169" s="24"/>
      <c r="M169" s="28"/>
      <c r="N169" s="28" t="s">
        <v>469</v>
      </c>
    </row>
    <row r="170" customFormat="false" ht="15" hidden="false" customHeight="false" outlineLevel="0" collapsed="false">
      <c r="A170" s="24" t="s">
        <v>100</v>
      </c>
      <c r="B170" s="24" t="s">
        <v>101</v>
      </c>
      <c r="C170" s="24" t="s">
        <v>102</v>
      </c>
      <c r="D170" s="33" t="s">
        <v>16</v>
      </c>
      <c r="E170" s="24" t="n">
        <v>9</v>
      </c>
      <c r="F170" s="24" t="s">
        <v>470</v>
      </c>
      <c r="G170" s="24" t="s">
        <v>226</v>
      </c>
      <c r="H170" s="24" t="s">
        <v>227</v>
      </c>
      <c r="I170" s="24" t="s">
        <v>156</v>
      </c>
      <c r="J170" s="24"/>
      <c r="K170" s="24"/>
      <c r="L170" s="24"/>
      <c r="M170" s="28"/>
      <c r="N170" s="28" t="s">
        <v>471</v>
      </c>
    </row>
    <row r="171" customFormat="false" ht="15" hidden="false" customHeight="false" outlineLevel="0" collapsed="false">
      <c r="A171" s="24" t="s">
        <v>100</v>
      </c>
      <c r="B171" s="24" t="s">
        <v>101</v>
      </c>
      <c r="C171" s="24" t="s">
        <v>102</v>
      </c>
      <c r="D171" s="33" t="s">
        <v>16</v>
      </c>
      <c r="E171" s="24" t="n">
        <v>10</v>
      </c>
      <c r="F171" s="24" t="s">
        <v>472</v>
      </c>
      <c r="G171" s="24" t="s">
        <v>179</v>
      </c>
      <c r="H171" s="24" t="s">
        <v>180</v>
      </c>
      <c r="I171" s="24" t="s">
        <v>156</v>
      </c>
      <c r="J171" s="24"/>
      <c r="K171" s="24"/>
      <c r="L171" s="24"/>
      <c r="M171" s="28"/>
      <c r="N171" s="28" t="s">
        <v>473</v>
      </c>
    </row>
    <row r="172" customFormat="false" ht="15" hidden="false" customHeight="false" outlineLevel="0" collapsed="false">
      <c r="A172" s="24" t="s">
        <v>100</v>
      </c>
      <c r="B172" s="24" t="s">
        <v>101</v>
      </c>
      <c r="C172" s="24" t="s">
        <v>102</v>
      </c>
      <c r="D172" s="33" t="s">
        <v>16</v>
      </c>
      <c r="E172" s="24" t="n">
        <v>11</v>
      </c>
      <c r="F172" s="24" t="s">
        <v>474</v>
      </c>
      <c r="G172" s="24" t="s">
        <v>475</v>
      </c>
      <c r="H172" s="24" t="s">
        <v>139</v>
      </c>
      <c r="I172" s="24" t="s">
        <v>129</v>
      </c>
      <c r="J172" s="29" t="s">
        <v>23</v>
      </c>
      <c r="K172" s="24"/>
      <c r="L172" s="24" t="s">
        <v>476</v>
      </c>
      <c r="M172" s="28" t="s">
        <v>477</v>
      </c>
      <c r="N172" s="28" t="s">
        <v>478</v>
      </c>
    </row>
    <row r="173" customFormat="false" ht="15" hidden="false" customHeight="false" outlineLevel="0" collapsed="false">
      <c r="A173" s="24" t="s">
        <v>100</v>
      </c>
      <c r="B173" s="24" t="s">
        <v>101</v>
      </c>
      <c r="C173" s="24" t="s">
        <v>102</v>
      </c>
      <c r="D173" s="33" t="s">
        <v>16</v>
      </c>
      <c r="E173" s="24" t="n">
        <v>12</v>
      </c>
      <c r="F173" s="24" t="s">
        <v>173</v>
      </c>
      <c r="G173" s="24" t="s">
        <v>174</v>
      </c>
      <c r="H173" s="24" t="s">
        <v>175</v>
      </c>
      <c r="I173" s="24" t="s">
        <v>129</v>
      </c>
      <c r="J173" s="24"/>
      <c r="K173" s="24"/>
      <c r="L173" s="24" t="s">
        <v>176</v>
      </c>
      <c r="M173" s="28" t="s">
        <v>254</v>
      </c>
      <c r="N173" s="28" t="s">
        <v>255</v>
      </c>
    </row>
    <row r="174" customFormat="false" ht="15" hidden="false" customHeight="false" outlineLevel="0" collapsed="false">
      <c r="A174" s="24" t="s">
        <v>100</v>
      </c>
      <c r="B174" s="24" t="s">
        <v>101</v>
      </c>
      <c r="C174" s="24" t="s">
        <v>102</v>
      </c>
      <c r="D174" s="33" t="s">
        <v>16</v>
      </c>
      <c r="E174" s="24" t="n">
        <v>13</v>
      </c>
      <c r="F174" s="24" t="s">
        <v>256</v>
      </c>
      <c r="G174" s="24" t="s">
        <v>174</v>
      </c>
      <c r="H174" s="24" t="s">
        <v>257</v>
      </c>
      <c r="I174" s="24" t="s">
        <v>129</v>
      </c>
      <c r="J174" s="24"/>
      <c r="K174" s="24"/>
      <c r="L174" s="24" t="s">
        <v>176</v>
      </c>
      <c r="M174" s="28" t="s">
        <v>254</v>
      </c>
      <c r="N174" s="28" t="s">
        <v>258</v>
      </c>
    </row>
    <row r="175" customFormat="false" ht="15" hidden="false" customHeight="false" outlineLevel="0" collapsed="false">
      <c r="A175" s="24" t="s">
        <v>104</v>
      </c>
      <c r="B175" s="24" t="s">
        <v>105</v>
      </c>
      <c r="C175" s="24" t="s">
        <v>102</v>
      </c>
      <c r="D175" s="33" t="s">
        <v>16</v>
      </c>
      <c r="E175" s="24" t="n">
        <v>1</v>
      </c>
      <c r="F175" s="26" t="s">
        <v>126</v>
      </c>
      <c r="G175" s="24" t="s">
        <v>127</v>
      </c>
      <c r="H175" s="24" t="s">
        <v>128</v>
      </c>
      <c r="I175" s="24" t="s">
        <v>129</v>
      </c>
      <c r="J175" s="27" t="s">
        <v>19</v>
      </c>
      <c r="K175" s="24"/>
      <c r="L175" s="24" t="s">
        <v>130</v>
      </c>
      <c r="M175" s="28"/>
      <c r="N175" s="28" t="s">
        <v>131</v>
      </c>
    </row>
    <row r="176" customFormat="false" ht="23.85" hidden="false" customHeight="false" outlineLevel="0" collapsed="false">
      <c r="A176" s="24" t="s">
        <v>104</v>
      </c>
      <c r="B176" s="24" t="s">
        <v>105</v>
      </c>
      <c r="C176" s="24" t="s">
        <v>102</v>
      </c>
      <c r="D176" s="33" t="s">
        <v>16</v>
      </c>
      <c r="E176" s="24" t="n">
        <v>2</v>
      </c>
      <c r="F176" s="24" t="s">
        <v>199</v>
      </c>
      <c r="G176" s="24" t="s">
        <v>127</v>
      </c>
      <c r="H176" s="24" t="s">
        <v>200</v>
      </c>
      <c r="I176" s="24" t="s">
        <v>129</v>
      </c>
      <c r="J176" s="30" t="s">
        <v>21</v>
      </c>
      <c r="K176" s="24" t="s">
        <v>237</v>
      </c>
      <c r="L176" s="24"/>
      <c r="M176" s="28" t="s">
        <v>238</v>
      </c>
      <c r="N176" s="28" t="s">
        <v>239</v>
      </c>
    </row>
    <row r="177" customFormat="false" ht="15" hidden="false" customHeight="false" outlineLevel="0" collapsed="false">
      <c r="A177" s="24" t="s">
        <v>104</v>
      </c>
      <c r="B177" s="24" t="s">
        <v>105</v>
      </c>
      <c r="C177" s="24" t="s">
        <v>102</v>
      </c>
      <c r="D177" s="33" t="s">
        <v>16</v>
      </c>
      <c r="E177" s="24" t="n">
        <v>3</v>
      </c>
      <c r="F177" s="24" t="s">
        <v>137</v>
      </c>
      <c r="G177" s="24" t="s">
        <v>479</v>
      </c>
      <c r="H177" s="24" t="s">
        <v>139</v>
      </c>
      <c r="I177" s="24" t="s">
        <v>156</v>
      </c>
      <c r="J177" s="24"/>
      <c r="K177" s="24"/>
      <c r="L177" s="24"/>
      <c r="M177" s="28"/>
      <c r="N177" s="28" t="s">
        <v>480</v>
      </c>
    </row>
    <row r="178" customFormat="false" ht="23.85" hidden="false" customHeight="false" outlineLevel="0" collapsed="false">
      <c r="A178" s="24" t="s">
        <v>104</v>
      </c>
      <c r="B178" s="24" t="s">
        <v>105</v>
      </c>
      <c r="C178" s="24" t="s">
        <v>102</v>
      </c>
      <c r="D178" s="33" t="s">
        <v>16</v>
      </c>
      <c r="E178" s="24" t="n">
        <v>4</v>
      </c>
      <c r="F178" s="24" t="s">
        <v>481</v>
      </c>
      <c r="G178" s="24" t="s">
        <v>267</v>
      </c>
      <c r="H178" s="24" t="s">
        <v>482</v>
      </c>
      <c r="I178" s="24" t="s">
        <v>149</v>
      </c>
      <c r="J178" s="24"/>
      <c r="K178" s="24"/>
      <c r="L178" s="24"/>
      <c r="M178" s="28" t="s">
        <v>483</v>
      </c>
      <c r="N178" s="28" t="s">
        <v>484</v>
      </c>
    </row>
    <row r="179" customFormat="false" ht="15" hidden="false" customHeight="false" outlineLevel="0" collapsed="false">
      <c r="A179" s="24" t="s">
        <v>104</v>
      </c>
      <c r="B179" s="24" t="s">
        <v>105</v>
      </c>
      <c r="C179" s="24" t="s">
        <v>102</v>
      </c>
      <c r="D179" s="33" t="s">
        <v>16</v>
      </c>
      <c r="E179" s="24" t="n">
        <v>5</v>
      </c>
      <c r="F179" s="24" t="s">
        <v>485</v>
      </c>
      <c r="G179" s="24" t="s">
        <v>401</v>
      </c>
      <c r="H179" s="24" t="s">
        <v>402</v>
      </c>
      <c r="I179" s="24" t="s">
        <v>149</v>
      </c>
      <c r="J179" s="24"/>
      <c r="K179" s="24"/>
      <c r="L179" s="24"/>
      <c r="M179" s="28" t="s">
        <v>486</v>
      </c>
      <c r="N179" s="28" t="s">
        <v>487</v>
      </c>
    </row>
    <row r="180" customFormat="false" ht="15" hidden="false" customHeight="false" outlineLevel="0" collapsed="false">
      <c r="A180" s="24" t="s">
        <v>104</v>
      </c>
      <c r="B180" s="24" t="s">
        <v>105</v>
      </c>
      <c r="C180" s="24" t="s">
        <v>102</v>
      </c>
      <c r="D180" s="33" t="s">
        <v>16</v>
      </c>
      <c r="E180" s="24" t="n">
        <v>6</v>
      </c>
      <c r="F180" s="24" t="s">
        <v>488</v>
      </c>
      <c r="G180" s="24" t="s">
        <v>489</v>
      </c>
      <c r="H180" s="24" t="s">
        <v>490</v>
      </c>
      <c r="I180" s="24" t="s">
        <v>129</v>
      </c>
      <c r="J180" s="24"/>
      <c r="K180" s="24"/>
      <c r="L180" s="24"/>
      <c r="M180" s="28"/>
      <c r="N180" s="28" t="s">
        <v>491</v>
      </c>
    </row>
    <row r="181" customFormat="false" ht="15" hidden="false" customHeight="false" outlineLevel="0" collapsed="false">
      <c r="A181" s="24" t="s">
        <v>104</v>
      </c>
      <c r="B181" s="24" t="s">
        <v>105</v>
      </c>
      <c r="C181" s="24" t="s">
        <v>102</v>
      </c>
      <c r="D181" s="33" t="s">
        <v>16</v>
      </c>
      <c r="E181" s="24" t="n">
        <v>7</v>
      </c>
      <c r="F181" s="24" t="s">
        <v>492</v>
      </c>
      <c r="G181" s="24" t="s">
        <v>489</v>
      </c>
      <c r="H181" s="24" t="s">
        <v>490</v>
      </c>
      <c r="I181" s="24" t="s">
        <v>129</v>
      </c>
      <c r="J181" s="24"/>
      <c r="K181" s="24"/>
      <c r="L181" s="24"/>
      <c r="M181" s="28"/>
      <c r="N181" s="28" t="s">
        <v>493</v>
      </c>
    </row>
    <row r="182" customFormat="false" ht="15" hidden="false" customHeight="false" outlineLevel="0" collapsed="false">
      <c r="A182" s="24" t="s">
        <v>104</v>
      </c>
      <c r="B182" s="24" t="s">
        <v>105</v>
      </c>
      <c r="C182" s="24" t="s">
        <v>102</v>
      </c>
      <c r="D182" s="33" t="s">
        <v>16</v>
      </c>
      <c r="E182" s="24" t="n">
        <v>8</v>
      </c>
      <c r="F182" s="24" t="s">
        <v>454</v>
      </c>
      <c r="G182" s="24" t="s">
        <v>455</v>
      </c>
      <c r="H182" s="24" t="s">
        <v>445</v>
      </c>
      <c r="I182" s="24" t="s">
        <v>149</v>
      </c>
      <c r="J182" s="24"/>
      <c r="K182" s="24"/>
      <c r="L182" s="24"/>
      <c r="M182" s="28" t="s">
        <v>494</v>
      </c>
      <c r="N182" s="28" t="s">
        <v>495</v>
      </c>
    </row>
    <row r="183" customFormat="false" ht="15" hidden="false" customHeight="false" outlineLevel="0" collapsed="false">
      <c r="A183" s="24" t="s">
        <v>104</v>
      </c>
      <c r="B183" s="24" t="s">
        <v>105</v>
      </c>
      <c r="C183" s="24" t="s">
        <v>102</v>
      </c>
      <c r="D183" s="33" t="s">
        <v>16</v>
      </c>
      <c r="E183" s="24" t="n">
        <v>9</v>
      </c>
      <c r="F183" s="24" t="s">
        <v>496</v>
      </c>
      <c r="G183" s="24" t="s">
        <v>455</v>
      </c>
      <c r="H183" s="24" t="s">
        <v>445</v>
      </c>
      <c r="I183" s="24" t="s">
        <v>149</v>
      </c>
      <c r="J183" s="24"/>
      <c r="K183" s="24"/>
      <c r="L183" s="24"/>
      <c r="M183" s="28" t="s">
        <v>494</v>
      </c>
      <c r="N183" s="28" t="s">
        <v>497</v>
      </c>
    </row>
    <row r="184" customFormat="false" ht="15" hidden="false" customHeight="false" outlineLevel="0" collapsed="false">
      <c r="A184" s="24" t="s">
        <v>104</v>
      </c>
      <c r="B184" s="24" t="s">
        <v>105</v>
      </c>
      <c r="C184" s="24" t="s">
        <v>102</v>
      </c>
      <c r="D184" s="33" t="s">
        <v>16</v>
      </c>
      <c r="E184" s="24" t="n">
        <v>10</v>
      </c>
      <c r="F184" s="24" t="s">
        <v>465</v>
      </c>
      <c r="G184" s="24" t="s">
        <v>142</v>
      </c>
      <c r="H184" s="24" t="s">
        <v>143</v>
      </c>
      <c r="I184" s="24" t="s">
        <v>149</v>
      </c>
      <c r="J184" s="24"/>
      <c r="K184" s="24"/>
      <c r="L184" s="24"/>
      <c r="M184" s="28" t="s">
        <v>494</v>
      </c>
      <c r="N184" s="28" t="s">
        <v>498</v>
      </c>
    </row>
    <row r="185" customFormat="false" ht="15" hidden="false" customHeight="false" outlineLevel="0" collapsed="false">
      <c r="A185" s="24" t="s">
        <v>104</v>
      </c>
      <c r="B185" s="24" t="s">
        <v>105</v>
      </c>
      <c r="C185" s="24" t="s">
        <v>102</v>
      </c>
      <c r="D185" s="33" t="s">
        <v>16</v>
      </c>
      <c r="E185" s="24" t="n">
        <v>11</v>
      </c>
      <c r="F185" s="24" t="s">
        <v>173</v>
      </c>
      <c r="G185" s="24" t="s">
        <v>174</v>
      </c>
      <c r="H185" s="24" t="s">
        <v>175</v>
      </c>
      <c r="I185" s="24" t="s">
        <v>129</v>
      </c>
      <c r="J185" s="24"/>
      <c r="K185" s="24"/>
      <c r="L185" s="24" t="s">
        <v>176</v>
      </c>
      <c r="M185" s="28" t="s">
        <v>254</v>
      </c>
      <c r="N185" s="28" t="s">
        <v>255</v>
      </c>
    </row>
    <row r="186" customFormat="false" ht="15" hidden="false" customHeight="false" outlineLevel="0" collapsed="false">
      <c r="A186" s="24" t="s">
        <v>104</v>
      </c>
      <c r="B186" s="24" t="s">
        <v>105</v>
      </c>
      <c r="C186" s="24" t="s">
        <v>102</v>
      </c>
      <c r="D186" s="33" t="s">
        <v>16</v>
      </c>
      <c r="E186" s="24" t="n">
        <v>12</v>
      </c>
      <c r="F186" s="24" t="s">
        <v>256</v>
      </c>
      <c r="G186" s="24" t="s">
        <v>174</v>
      </c>
      <c r="H186" s="24" t="s">
        <v>257</v>
      </c>
      <c r="I186" s="24" t="s">
        <v>129</v>
      </c>
      <c r="J186" s="24"/>
      <c r="K186" s="24"/>
      <c r="L186" s="24" t="s">
        <v>176</v>
      </c>
      <c r="M186" s="28" t="s">
        <v>254</v>
      </c>
      <c r="N186" s="28" t="s">
        <v>258</v>
      </c>
    </row>
    <row r="187" customFormat="false" ht="15" hidden="false" customHeight="false" outlineLevel="0" collapsed="false">
      <c r="A187" s="24" t="s">
        <v>107</v>
      </c>
      <c r="B187" s="24" t="s">
        <v>108</v>
      </c>
      <c r="C187" s="24" t="s">
        <v>102</v>
      </c>
      <c r="D187" s="33" t="s">
        <v>16</v>
      </c>
      <c r="E187" s="24" t="n">
        <v>1</v>
      </c>
      <c r="F187" s="26" t="s">
        <v>126</v>
      </c>
      <c r="G187" s="24" t="s">
        <v>127</v>
      </c>
      <c r="H187" s="24" t="s">
        <v>128</v>
      </c>
      <c r="I187" s="24" t="s">
        <v>129</v>
      </c>
      <c r="J187" s="27" t="s">
        <v>19</v>
      </c>
      <c r="K187" s="24"/>
      <c r="L187" s="24" t="s">
        <v>130</v>
      </c>
      <c r="M187" s="28"/>
      <c r="N187" s="28" t="s">
        <v>131</v>
      </c>
    </row>
    <row r="188" customFormat="false" ht="23.85" hidden="false" customHeight="false" outlineLevel="0" collapsed="false">
      <c r="A188" s="24" t="s">
        <v>107</v>
      </c>
      <c r="B188" s="24" t="s">
        <v>108</v>
      </c>
      <c r="C188" s="24" t="s">
        <v>102</v>
      </c>
      <c r="D188" s="33" t="s">
        <v>16</v>
      </c>
      <c r="E188" s="24" t="n">
        <v>2</v>
      </c>
      <c r="F188" s="24" t="s">
        <v>199</v>
      </c>
      <c r="G188" s="24" t="s">
        <v>127</v>
      </c>
      <c r="H188" s="24" t="s">
        <v>200</v>
      </c>
      <c r="I188" s="24" t="s">
        <v>129</v>
      </c>
      <c r="J188" s="30" t="s">
        <v>21</v>
      </c>
      <c r="K188" s="24" t="s">
        <v>237</v>
      </c>
      <c r="L188" s="24"/>
      <c r="M188" s="28" t="s">
        <v>238</v>
      </c>
      <c r="N188" s="28" t="s">
        <v>239</v>
      </c>
    </row>
    <row r="189" customFormat="false" ht="15" hidden="false" customHeight="false" outlineLevel="0" collapsed="false">
      <c r="A189" s="24" t="s">
        <v>107</v>
      </c>
      <c r="B189" s="24" t="s">
        <v>108</v>
      </c>
      <c r="C189" s="24" t="s">
        <v>102</v>
      </c>
      <c r="D189" s="33" t="s">
        <v>16</v>
      </c>
      <c r="E189" s="24" t="n">
        <v>3</v>
      </c>
      <c r="F189" s="24" t="s">
        <v>485</v>
      </c>
      <c r="G189" s="24" t="s">
        <v>401</v>
      </c>
      <c r="H189" s="24" t="s">
        <v>402</v>
      </c>
      <c r="I189" s="24" t="s">
        <v>129</v>
      </c>
      <c r="J189" s="24"/>
      <c r="K189" s="24"/>
      <c r="L189" s="24"/>
      <c r="M189" s="28" t="s">
        <v>499</v>
      </c>
      <c r="N189" s="28" t="s">
        <v>500</v>
      </c>
    </row>
    <row r="190" customFormat="false" ht="15" hidden="false" customHeight="false" outlineLevel="0" collapsed="false">
      <c r="A190" s="24" t="s">
        <v>107</v>
      </c>
      <c r="B190" s="24" t="s">
        <v>108</v>
      </c>
      <c r="C190" s="24" t="s">
        <v>102</v>
      </c>
      <c r="D190" s="33" t="s">
        <v>16</v>
      </c>
      <c r="E190" s="24" t="n">
        <v>4</v>
      </c>
      <c r="F190" s="24" t="s">
        <v>448</v>
      </c>
      <c r="G190" s="24" t="s">
        <v>188</v>
      </c>
      <c r="H190" s="24" t="s">
        <v>139</v>
      </c>
      <c r="I190" s="24" t="s">
        <v>156</v>
      </c>
      <c r="J190" s="24"/>
      <c r="K190" s="24"/>
      <c r="L190" s="24"/>
      <c r="M190" s="28"/>
      <c r="N190" s="28" t="s">
        <v>501</v>
      </c>
    </row>
    <row r="191" customFormat="false" ht="15" hidden="false" customHeight="false" outlineLevel="0" collapsed="false">
      <c r="A191" s="24" t="s">
        <v>107</v>
      </c>
      <c r="B191" s="24" t="s">
        <v>108</v>
      </c>
      <c r="C191" s="24" t="s">
        <v>102</v>
      </c>
      <c r="D191" s="33" t="s">
        <v>16</v>
      </c>
      <c r="E191" s="24" t="n">
        <v>5</v>
      </c>
      <c r="F191" s="24" t="s">
        <v>173</v>
      </c>
      <c r="G191" s="24" t="s">
        <v>174</v>
      </c>
      <c r="H191" s="24" t="s">
        <v>175</v>
      </c>
      <c r="I191" s="24" t="s">
        <v>129</v>
      </c>
      <c r="J191" s="24"/>
      <c r="K191" s="24"/>
      <c r="L191" s="24" t="s">
        <v>176</v>
      </c>
      <c r="M191" s="28" t="s">
        <v>254</v>
      </c>
      <c r="N191" s="28" t="s">
        <v>255</v>
      </c>
    </row>
    <row r="192" customFormat="false" ht="15" hidden="false" customHeight="false" outlineLevel="0" collapsed="false">
      <c r="A192" s="24" t="s">
        <v>107</v>
      </c>
      <c r="B192" s="24" t="s">
        <v>108</v>
      </c>
      <c r="C192" s="24" t="s">
        <v>102</v>
      </c>
      <c r="D192" s="33" t="s">
        <v>16</v>
      </c>
      <c r="E192" s="24" t="n">
        <v>6</v>
      </c>
      <c r="F192" s="24" t="s">
        <v>256</v>
      </c>
      <c r="G192" s="24" t="s">
        <v>174</v>
      </c>
      <c r="H192" s="24" t="s">
        <v>257</v>
      </c>
      <c r="I192" s="24" t="s">
        <v>129</v>
      </c>
      <c r="J192" s="24"/>
      <c r="K192" s="24"/>
      <c r="L192" s="24" t="s">
        <v>176</v>
      </c>
      <c r="M192" s="28" t="s">
        <v>254</v>
      </c>
      <c r="N192" s="28" t="s">
        <v>258</v>
      </c>
    </row>
    <row r="193" customFormat="false" ht="15" hidden="false" customHeight="false" outlineLevel="0" collapsed="false">
      <c r="A193" s="24" t="s">
        <v>110</v>
      </c>
      <c r="B193" s="24" t="s">
        <v>111</v>
      </c>
      <c r="C193" s="24" t="s">
        <v>102</v>
      </c>
      <c r="D193" s="33" t="s">
        <v>16</v>
      </c>
      <c r="E193" s="24" t="n">
        <v>1</v>
      </c>
      <c r="F193" s="26" t="s">
        <v>126</v>
      </c>
      <c r="G193" s="24" t="s">
        <v>127</v>
      </c>
      <c r="H193" s="24" t="s">
        <v>128</v>
      </c>
      <c r="I193" s="24" t="s">
        <v>129</v>
      </c>
      <c r="J193" s="27" t="s">
        <v>19</v>
      </c>
      <c r="K193" s="24"/>
      <c r="L193" s="24" t="s">
        <v>130</v>
      </c>
      <c r="M193" s="28"/>
      <c r="N193" s="28" t="s">
        <v>131</v>
      </c>
    </row>
    <row r="194" customFormat="false" ht="23.85" hidden="false" customHeight="false" outlineLevel="0" collapsed="false">
      <c r="A194" s="24" t="s">
        <v>110</v>
      </c>
      <c r="B194" s="24" t="s">
        <v>111</v>
      </c>
      <c r="C194" s="24" t="s">
        <v>102</v>
      </c>
      <c r="D194" s="33" t="s">
        <v>16</v>
      </c>
      <c r="E194" s="24" t="n">
        <v>2</v>
      </c>
      <c r="F194" s="24" t="s">
        <v>199</v>
      </c>
      <c r="G194" s="24" t="s">
        <v>127</v>
      </c>
      <c r="H194" s="24" t="s">
        <v>200</v>
      </c>
      <c r="I194" s="24" t="s">
        <v>129</v>
      </c>
      <c r="J194" s="30" t="s">
        <v>21</v>
      </c>
      <c r="K194" s="24" t="s">
        <v>237</v>
      </c>
      <c r="L194" s="24"/>
      <c r="M194" s="28" t="s">
        <v>238</v>
      </c>
      <c r="N194" s="28" t="s">
        <v>239</v>
      </c>
    </row>
    <row r="195" customFormat="false" ht="23.85" hidden="false" customHeight="false" outlineLevel="0" collapsed="false">
      <c r="A195" s="24" t="s">
        <v>110</v>
      </c>
      <c r="B195" s="24" t="s">
        <v>111</v>
      </c>
      <c r="C195" s="24" t="s">
        <v>102</v>
      </c>
      <c r="D195" s="33" t="s">
        <v>16</v>
      </c>
      <c r="E195" s="24" t="n">
        <v>3</v>
      </c>
      <c r="F195" s="24" t="s">
        <v>502</v>
      </c>
      <c r="G195" s="24" t="s">
        <v>503</v>
      </c>
      <c r="H195" s="24" t="s">
        <v>504</v>
      </c>
      <c r="I195" s="24" t="s">
        <v>129</v>
      </c>
      <c r="J195" s="29" t="s">
        <v>23</v>
      </c>
      <c r="K195" s="24"/>
      <c r="L195" s="24" t="s">
        <v>476</v>
      </c>
      <c r="M195" s="28" t="s">
        <v>505</v>
      </c>
      <c r="N195" s="28" t="s">
        <v>506</v>
      </c>
    </row>
    <row r="196" customFormat="false" ht="15" hidden="false" customHeight="false" outlineLevel="0" collapsed="false">
      <c r="A196" s="24" t="s">
        <v>110</v>
      </c>
      <c r="B196" s="24" t="s">
        <v>111</v>
      </c>
      <c r="C196" s="24" t="s">
        <v>102</v>
      </c>
      <c r="D196" s="33" t="s">
        <v>16</v>
      </c>
      <c r="E196" s="24" t="n">
        <v>4</v>
      </c>
      <c r="F196" s="24" t="s">
        <v>240</v>
      </c>
      <c r="G196" s="24" t="s">
        <v>127</v>
      </c>
      <c r="H196" s="24" t="s">
        <v>241</v>
      </c>
      <c r="I196" s="24" t="s">
        <v>129</v>
      </c>
      <c r="J196" s="30" t="s">
        <v>21</v>
      </c>
      <c r="K196" s="24" t="s">
        <v>336</v>
      </c>
      <c r="L196" s="24"/>
      <c r="M196" s="28"/>
      <c r="N196" s="28" t="s">
        <v>507</v>
      </c>
    </row>
    <row r="197" customFormat="false" ht="15" hidden="false" customHeight="false" outlineLevel="0" collapsed="false">
      <c r="A197" s="24" t="s">
        <v>110</v>
      </c>
      <c r="B197" s="24" t="s">
        <v>111</v>
      </c>
      <c r="C197" s="24" t="s">
        <v>102</v>
      </c>
      <c r="D197" s="33" t="s">
        <v>16</v>
      </c>
      <c r="E197" s="24" t="n">
        <v>5</v>
      </c>
      <c r="F197" s="24" t="s">
        <v>508</v>
      </c>
      <c r="G197" s="24" t="s">
        <v>174</v>
      </c>
      <c r="H197" s="24" t="s">
        <v>249</v>
      </c>
      <c r="I197" s="24" t="s">
        <v>129</v>
      </c>
      <c r="J197" s="24"/>
      <c r="K197" s="24"/>
      <c r="L197" s="24"/>
      <c r="M197" s="28" t="s">
        <v>509</v>
      </c>
      <c r="N197" s="28" t="s">
        <v>510</v>
      </c>
    </row>
    <row r="198" customFormat="false" ht="15" hidden="false" customHeight="false" outlineLevel="0" collapsed="false">
      <c r="A198" s="24" t="s">
        <v>110</v>
      </c>
      <c r="B198" s="24" t="s">
        <v>111</v>
      </c>
      <c r="C198" s="24" t="s">
        <v>102</v>
      </c>
      <c r="D198" s="33" t="s">
        <v>16</v>
      </c>
      <c r="E198" s="24" t="n">
        <v>6</v>
      </c>
      <c r="F198" s="24" t="s">
        <v>511</v>
      </c>
      <c r="G198" s="24" t="s">
        <v>174</v>
      </c>
      <c r="H198" s="24" t="s">
        <v>249</v>
      </c>
      <c r="I198" s="24" t="s">
        <v>129</v>
      </c>
      <c r="J198" s="24"/>
      <c r="K198" s="24"/>
      <c r="L198" s="24"/>
      <c r="M198" s="28"/>
      <c r="N198" s="28" t="s">
        <v>512</v>
      </c>
    </row>
    <row r="199" customFormat="false" ht="15" hidden="false" customHeight="false" outlineLevel="0" collapsed="false">
      <c r="A199" s="24" t="s">
        <v>110</v>
      </c>
      <c r="B199" s="24" t="s">
        <v>111</v>
      </c>
      <c r="C199" s="24" t="s">
        <v>102</v>
      </c>
      <c r="D199" s="33" t="s">
        <v>16</v>
      </c>
      <c r="E199" s="24" t="n">
        <v>7</v>
      </c>
      <c r="F199" s="24" t="s">
        <v>513</v>
      </c>
      <c r="G199" s="24" t="s">
        <v>455</v>
      </c>
      <c r="H199" s="24" t="s">
        <v>445</v>
      </c>
      <c r="I199" s="24" t="s">
        <v>129</v>
      </c>
      <c r="J199" s="24"/>
      <c r="K199" s="24"/>
      <c r="L199" s="24" t="s">
        <v>346</v>
      </c>
      <c r="M199" s="28"/>
      <c r="N199" s="28" t="s">
        <v>514</v>
      </c>
    </row>
    <row r="200" customFormat="false" ht="23.85" hidden="false" customHeight="false" outlineLevel="0" collapsed="false">
      <c r="A200" s="24" t="s">
        <v>110</v>
      </c>
      <c r="B200" s="24" t="s">
        <v>111</v>
      </c>
      <c r="C200" s="24" t="s">
        <v>102</v>
      </c>
      <c r="D200" s="33" t="s">
        <v>16</v>
      </c>
      <c r="E200" s="24" t="n">
        <v>8</v>
      </c>
      <c r="F200" s="24" t="s">
        <v>229</v>
      </c>
      <c r="G200" s="24" t="s">
        <v>195</v>
      </c>
      <c r="H200" s="24" t="s">
        <v>196</v>
      </c>
      <c r="I200" s="24" t="s">
        <v>129</v>
      </c>
      <c r="J200" s="24"/>
      <c r="K200" s="24"/>
      <c r="L200" s="24" t="s">
        <v>515</v>
      </c>
      <c r="M200" s="28" t="s">
        <v>516</v>
      </c>
      <c r="N200" s="28" t="s">
        <v>517</v>
      </c>
    </row>
    <row r="201" customFormat="false" ht="15" hidden="false" customHeight="false" outlineLevel="0" collapsed="false">
      <c r="A201" s="24" t="s">
        <v>110</v>
      </c>
      <c r="B201" s="24" t="s">
        <v>111</v>
      </c>
      <c r="C201" s="24" t="s">
        <v>102</v>
      </c>
      <c r="D201" s="33" t="s">
        <v>16</v>
      </c>
      <c r="E201" s="24" t="n">
        <v>9</v>
      </c>
      <c r="F201" s="24" t="s">
        <v>518</v>
      </c>
      <c r="G201" s="24" t="s">
        <v>188</v>
      </c>
      <c r="H201" s="24" t="s">
        <v>139</v>
      </c>
      <c r="I201" s="24" t="s">
        <v>129</v>
      </c>
      <c r="J201" s="24"/>
      <c r="K201" s="24"/>
      <c r="L201" s="24"/>
      <c r="M201" s="28"/>
      <c r="N201" s="28" t="s">
        <v>519</v>
      </c>
    </row>
    <row r="202" customFormat="false" ht="15" hidden="false" customHeight="false" outlineLevel="0" collapsed="false">
      <c r="A202" s="24" t="s">
        <v>110</v>
      </c>
      <c r="B202" s="24" t="s">
        <v>111</v>
      </c>
      <c r="C202" s="24" t="s">
        <v>102</v>
      </c>
      <c r="D202" s="33" t="s">
        <v>16</v>
      </c>
      <c r="E202" s="24" t="n">
        <v>10</v>
      </c>
      <c r="F202" s="24" t="s">
        <v>520</v>
      </c>
      <c r="G202" s="24" t="s">
        <v>179</v>
      </c>
      <c r="H202" s="24" t="s">
        <v>180</v>
      </c>
      <c r="I202" s="24" t="s">
        <v>129</v>
      </c>
      <c r="J202" s="24"/>
      <c r="K202" s="24"/>
      <c r="L202" s="24"/>
      <c r="M202" s="28"/>
      <c r="N202" s="28" t="s">
        <v>521</v>
      </c>
    </row>
    <row r="203" customFormat="false" ht="15" hidden="false" customHeight="false" outlineLevel="0" collapsed="false">
      <c r="A203" s="24" t="s">
        <v>110</v>
      </c>
      <c r="B203" s="24" t="s">
        <v>111</v>
      </c>
      <c r="C203" s="24" t="s">
        <v>102</v>
      </c>
      <c r="D203" s="33" t="s">
        <v>16</v>
      </c>
      <c r="E203" s="24" t="n">
        <v>11</v>
      </c>
      <c r="F203" s="24" t="s">
        <v>522</v>
      </c>
      <c r="G203" s="24" t="s">
        <v>223</v>
      </c>
      <c r="H203" s="24" t="s">
        <v>139</v>
      </c>
      <c r="I203" s="24" t="s">
        <v>129</v>
      </c>
      <c r="J203" s="24"/>
      <c r="K203" s="24"/>
      <c r="L203" s="24"/>
      <c r="M203" s="28"/>
      <c r="N203" s="28" t="s">
        <v>523</v>
      </c>
    </row>
    <row r="204" customFormat="false" ht="15" hidden="false" customHeight="false" outlineLevel="0" collapsed="false">
      <c r="A204" s="24" t="s">
        <v>110</v>
      </c>
      <c r="B204" s="24" t="s">
        <v>111</v>
      </c>
      <c r="C204" s="24" t="s">
        <v>102</v>
      </c>
      <c r="D204" s="33" t="s">
        <v>16</v>
      </c>
      <c r="E204" s="24" t="n">
        <v>12</v>
      </c>
      <c r="F204" s="24" t="s">
        <v>448</v>
      </c>
      <c r="G204" s="24" t="s">
        <v>226</v>
      </c>
      <c r="H204" s="24" t="s">
        <v>227</v>
      </c>
      <c r="I204" s="24" t="s">
        <v>156</v>
      </c>
      <c r="J204" s="24"/>
      <c r="K204" s="24"/>
      <c r="L204" s="24"/>
      <c r="M204" s="28"/>
      <c r="N204" s="28" t="s">
        <v>524</v>
      </c>
    </row>
    <row r="205" customFormat="false" ht="15" hidden="false" customHeight="false" outlineLevel="0" collapsed="false">
      <c r="A205" s="24" t="s">
        <v>110</v>
      </c>
      <c r="B205" s="24" t="s">
        <v>111</v>
      </c>
      <c r="C205" s="24" t="s">
        <v>102</v>
      </c>
      <c r="D205" s="33" t="s">
        <v>16</v>
      </c>
      <c r="E205" s="24" t="n">
        <v>13</v>
      </c>
      <c r="F205" s="24" t="s">
        <v>525</v>
      </c>
      <c r="G205" s="24" t="s">
        <v>226</v>
      </c>
      <c r="H205" s="24" t="s">
        <v>227</v>
      </c>
      <c r="I205" s="24" t="s">
        <v>156</v>
      </c>
      <c r="J205" s="24"/>
      <c r="K205" s="24"/>
      <c r="L205" s="24"/>
      <c r="M205" s="28"/>
      <c r="N205" s="28" t="s">
        <v>526</v>
      </c>
    </row>
    <row r="206" customFormat="false" ht="15" hidden="false" customHeight="false" outlineLevel="0" collapsed="false">
      <c r="A206" s="24" t="s">
        <v>110</v>
      </c>
      <c r="B206" s="24" t="s">
        <v>111</v>
      </c>
      <c r="C206" s="24" t="s">
        <v>102</v>
      </c>
      <c r="D206" s="33" t="s">
        <v>16</v>
      </c>
      <c r="E206" s="24" t="n">
        <v>14</v>
      </c>
      <c r="F206" s="24" t="s">
        <v>527</v>
      </c>
      <c r="G206" s="24" t="s">
        <v>267</v>
      </c>
      <c r="H206" s="24" t="s">
        <v>268</v>
      </c>
      <c r="I206" s="24" t="s">
        <v>129</v>
      </c>
      <c r="J206" s="24"/>
      <c r="K206" s="24"/>
      <c r="L206" s="24" t="s">
        <v>346</v>
      </c>
      <c r="M206" s="28" t="s">
        <v>528</v>
      </c>
      <c r="N206" s="28" t="s">
        <v>529</v>
      </c>
    </row>
    <row r="207" customFormat="false" ht="15" hidden="false" customHeight="false" outlineLevel="0" collapsed="false">
      <c r="A207" s="24" t="s">
        <v>110</v>
      </c>
      <c r="B207" s="24" t="s">
        <v>111</v>
      </c>
      <c r="C207" s="24" t="s">
        <v>102</v>
      </c>
      <c r="D207" s="33" t="s">
        <v>16</v>
      </c>
      <c r="E207" s="24" t="n">
        <v>15</v>
      </c>
      <c r="F207" s="24" t="s">
        <v>530</v>
      </c>
      <c r="G207" s="24" t="s">
        <v>174</v>
      </c>
      <c r="H207" s="24" t="s">
        <v>249</v>
      </c>
      <c r="I207" s="24" t="s">
        <v>149</v>
      </c>
      <c r="J207" s="24"/>
      <c r="K207" s="24"/>
      <c r="L207" s="24"/>
      <c r="M207" s="28"/>
      <c r="N207" s="28" t="s">
        <v>531</v>
      </c>
    </row>
    <row r="208" customFormat="false" ht="15" hidden="false" customHeight="false" outlineLevel="0" collapsed="false">
      <c r="A208" s="24" t="s">
        <v>110</v>
      </c>
      <c r="B208" s="24" t="s">
        <v>111</v>
      </c>
      <c r="C208" s="24" t="s">
        <v>102</v>
      </c>
      <c r="D208" s="33" t="s">
        <v>16</v>
      </c>
      <c r="E208" s="24" t="n">
        <v>16</v>
      </c>
      <c r="F208" s="24" t="s">
        <v>173</v>
      </c>
      <c r="G208" s="24" t="s">
        <v>174</v>
      </c>
      <c r="H208" s="24" t="s">
        <v>175</v>
      </c>
      <c r="I208" s="24" t="s">
        <v>129</v>
      </c>
      <c r="J208" s="24"/>
      <c r="K208" s="24"/>
      <c r="L208" s="24" t="s">
        <v>176</v>
      </c>
      <c r="M208" s="28" t="s">
        <v>254</v>
      </c>
      <c r="N208" s="28" t="s">
        <v>255</v>
      </c>
    </row>
    <row r="209" customFormat="false" ht="15" hidden="false" customHeight="false" outlineLevel="0" collapsed="false">
      <c r="A209" s="24" t="s">
        <v>110</v>
      </c>
      <c r="B209" s="24" t="s">
        <v>111</v>
      </c>
      <c r="C209" s="24" t="s">
        <v>102</v>
      </c>
      <c r="D209" s="33" t="s">
        <v>16</v>
      </c>
      <c r="E209" s="24" t="n">
        <v>17</v>
      </c>
      <c r="F209" s="24" t="s">
        <v>256</v>
      </c>
      <c r="G209" s="24" t="s">
        <v>174</v>
      </c>
      <c r="H209" s="24" t="s">
        <v>257</v>
      </c>
      <c r="I209" s="24" t="s">
        <v>129</v>
      </c>
      <c r="J209" s="24"/>
      <c r="K209" s="24"/>
      <c r="L209" s="24" t="s">
        <v>176</v>
      </c>
      <c r="M209" s="28" t="s">
        <v>254</v>
      </c>
      <c r="N209" s="28" t="s">
        <v>258</v>
      </c>
    </row>
    <row r="210" customFormat="false" ht="15" hidden="false" customHeight="false" outlineLevel="0" collapsed="false">
      <c r="A210" s="24" t="s">
        <v>113</v>
      </c>
      <c r="B210" s="24" t="s">
        <v>114</v>
      </c>
      <c r="C210" s="24" t="s">
        <v>102</v>
      </c>
      <c r="D210" s="33" t="s">
        <v>16</v>
      </c>
      <c r="E210" s="24" t="n">
        <v>1</v>
      </c>
      <c r="F210" s="26" t="s">
        <v>126</v>
      </c>
      <c r="G210" s="24" t="s">
        <v>127</v>
      </c>
      <c r="H210" s="24" t="s">
        <v>128</v>
      </c>
      <c r="I210" s="24" t="s">
        <v>129</v>
      </c>
      <c r="J210" s="27" t="s">
        <v>19</v>
      </c>
      <c r="K210" s="24"/>
      <c r="L210" s="24" t="s">
        <v>130</v>
      </c>
      <c r="M210" s="28"/>
      <c r="N210" s="28" t="s">
        <v>131</v>
      </c>
    </row>
    <row r="211" customFormat="false" ht="23.85" hidden="false" customHeight="false" outlineLevel="0" collapsed="false">
      <c r="A211" s="24" t="s">
        <v>113</v>
      </c>
      <c r="B211" s="24" t="s">
        <v>114</v>
      </c>
      <c r="C211" s="24" t="s">
        <v>102</v>
      </c>
      <c r="D211" s="33" t="s">
        <v>16</v>
      </c>
      <c r="E211" s="24" t="n">
        <v>2</v>
      </c>
      <c r="F211" s="24" t="s">
        <v>199</v>
      </c>
      <c r="G211" s="24" t="s">
        <v>127</v>
      </c>
      <c r="H211" s="24" t="s">
        <v>200</v>
      </c>
      <c r="I211" s="24" t="s">
        <v>129</v>
      </c>
      <c r="J211" s="30" t="s">
        <v>21</v>
      </c>
      <c r="K211" s="24" t="s">
        <v>237</v>
      </c>
      <c r="L211" s="24"/>
      <c r="M211" s="28" t="s">
        <v>238</v>
      </c>
      <c r="N211" s="28" t="s">
        <v>239</v>
      </c>
    </row>
    <row r="212" customFormat="false" ht="15" hidden="false" customHeight="false" outlineLevel="0" collapsed="false">
      <c r="A212" s="24" t="s">
        <v>113</v>
      </c>
      <c r="B212" s="24" t="s">
        <v>114</v>
      </c>
      <c r="C212" s="24" t="s">
        <v>102</v>
      </c>
      <c r="D212" s="33" t="s">
        <v>16</v>
      </c>
      <c r="E212" s="24" t="n">
        <v>3</v>
      </c>
      <c r="F212" s="24" t="s">
        <v>532</v>
      </c>
      <c r="G212" s="24" t="s">
        <v>127</v>
      </c>
      <c r="H212" s="24" t="s">
        <v>533</v>
      </c>
      <c r="I212" s="24" t="s">
        <v>129</v>
      </c>
      <c r="J212" s="30" t="s">
        <v>21</v>
      </c>
      <c r="K212" s="24" t="s">
        <v>534</v>
      </c>
      <c r="L212" s="24"/>
      <c r="M212" s="28"/>
      <c r="N212" s="28" t="s">
        <v>535</v>
      </c>
    </row>
    <row r="213" customFormat="false" ht="23.85" hidden="false" customHeight="false" outlineLevel="0" collapsed="false">
      <c r="A213" s="24" t="s">
        <v>113</v>
      </c>
      <c r="B213" s="24" t="s">
        <v>114</v>
      </c>
      <c r="C213" s="24" t="s">
        <v>102</v>
      </c>
      <c r="D213" s="33" t="s">
        <v>16</v>
      </c>
      <c r="E213" s="24" t="n">
        <v>4</v>
      </c>
      <c r="F213" s="24" t="s">
        <v>379</v>
      </c>
      <c r="G213" s="24" t="s">
        <v>223</v>
      </c>
      <c r="H213" s="24" t="s">
        <v>196</v>
      </c>
      <c r="I213" s="24" t="s">
        <v>129</v>
      </c>
      <c r="J213" s="24"/>
      <c r="K213" s="24"/>
      <c r="L213" s="24"/>
      <c r="M213" s="28" t="s">
        <v>536</v>
      </c>
      <c r="N213" s="28" t="s">
        <v>537</v>
      </c>
    </row>
    <row r="214" customFormat="false" ht="15" hidden="false" customHeight="false" outlineLevel="0" collapsed="false">
      <c r="A214" s="24" t="s">
        <v>113</v>
      </c>
      <c r="B214" s="24" t="s">
        <v>114</v>
      </c>
      <c r="C214" s="24" t="s">
        <v>102</v>
      </c>
      <c r="D214" s="33" t="s">
        <v>16</v>
      </c>
      <c r="E214" s="24" t="n">
        <v>5</v>
      </c>
      <c r="F214" s="24" t="s">
        <v>538</v>
      </c>
      <c r="G214" s="24" t="s">
        <v>179</v>
      </c>
      <c r="H214" s="24" t="s">
        <v>180</v>
      </c>
      <c r="I214" s="24" t="s">
        <v>129</v>
      </c>
      <c r="J214" s="24"/>
      <c r="K214" s="24"/>
      <c r="L214" s="24"/>
      <c r="M214" s="28"/>
      <c r="N214" s="28" t="s">
        <v>539</v>
      </c>
    </row>
    <row r="215" customFormat="false" ht="15" hidden="false" customHeight="false" outlineLevel="0" collapsed="false">
      <c r="A215" s="24" t="s">
        <v>113</v>
      </c>
      <c r="B215" s="24" t="s">
        <v>114</v>
      </c>
      <c r="C215" s="24" t="s">
        <v>102</v>
      </c>
      <c r="D215" s="33" t="s">
        <v>16</v>
      </c>
      <c r="E215" s="24" t="n">
        <v>6</v>
      </c>
      <c r="F215" s="24" t="s">
        <v>229</v>
      </c>
      <c r="G215" s="24" t="s">
        <v>195</v>
      </c>
      <c r="H215" s="24" t="s">
        <v>196</v>
      </c>
      <c r="I215" s="24" t="s">
        <v>129</v>
      </c>
      <c r="J215" s="24"/>
      <c r="K215" s="24"/>
      <c r="L215" s="24" t="s">
        <v>450</v>
      </c>
      <c r="M215" s="28" t="s">
        <v>540</v>
      </c>
      <c r="N215" s="28" t="s">
        <v>541</v>
      </c>
    </row>
    <row r="216" customFormat="false" ht="15" hidden="false" customHeight="false" outlineLevel="0" collapsed="false">
      <c r="A216" s="24" t="s">
        <v>113</v>
      </c>
      <c r="B216" s="24" t="s">
        <v>114</v>
      </c>
      <c r="C216" s="24" t="s">
        <v>102</v>
      </c>
      <c r="D216" s="33" t="s">
        <v>16</v>
      </c>
      <c r="E216" s="24" t="n">
        <v>7</v>
      </c>
      <c r="F216" s="24" t="s">
        <v>542</v>
      </c>
      <c r="G216" s="24" t="s">
        <v>455</v>
      </c>
      <c r="H216" s="24" t="s">
        <v>445</v>
      </c>
      <c r="I216" s="24" t="s">
        <v>129</v>
      </c>
      <c r="J216" s="24"/>
      <c r="K216" s="24"/>
      <c r="L216" s="24" t="s">
        <v>346</v>
      </c>
      <c r="M216" s="28"/>
      <c r="N216" s="28" t="s">
        <v>543</v>
      </c>
    </row>
    <row r="217" customFormat="false" ht="15" hidden="false" customHeight="false" outlineLevel="0" collapsed="false">
      <c r="A217" s="24" t="s">
        <v>113</v>
      </c>
      <c r="B217" s="24" t="s">
        <v>114</v>
      </c>
      <c r="C217" s="24" t="s">
        <v>102</v>
      </c>
      <c r="D217" s="33" t="s">
        <v>16</v>
      </c>
      <c r="E217" s="24" t="n">
        <v>8</v>
      </c>
      <c r="F217" s="24" t="s">
        <v>544</v>
      </c>
      <c r="G217" s="24" t="s">
        <v>226</v>
      </c>
      <c r="H217" s="24" t="s">
        <v>227</v>
      </c>
      <c r="I217" s="24" t="s">
        <v>156</v>
      </c>
      <c r="J217" s="24"/>
      <c r="K217" s="24"/>
      <c r="L217" s="24"/>
      <c r="M217" s="28"/>
      <c r="N217" s="28" t="s">
        <v>545</v>
      </c>
    </row>
    <row r="218" customFormat="false" ht="15" hidden="false" customHeight="false" outlineLevel="0" collapsed="false">
      <c r="A218" s="24" t="s">
        <v>113</v>
      </c>
      <c r="B218" s="24" t="s">
        <v>114</v>
      </c>
      <c r="C218" s="24" t="s">
        <v>102</v>
      </c>
      <c r="D218" s="33" t="s">
        <v>16</v>
      </c>
      <c r="E218" s="24" t="n">
        <v>9</v>
      </c>
      <c r="F218" s="24" t="s">
        <v>546</v>
      </c>
      <c r="G218" s="24" t="s">
        <v>174</v>
      </c>
      <c r="H218" s="24" t="s">
        <v>249</v>
      </c>
      <c r="I218" s="24" t="s">
        <v>149</v>
      </c>
      <c r="J218" s="24"/>
      <c r="K218" s="24"/>
      <c r="L218" s="24"/>
      <c r="M218" s="28"/>
      <c r="N218" s="28" t="s">
        <v>547</v>
      </c>
    </row>
    <row r="219" customFormat="false" ht="15" hidden="false" customHeight="false" outlineLevel="0" collapsed="false">
      <c r="A219" s="24" t="s">
        <v>113</v>
      </c>
      <c r="B219" s="24" t="s">
        <v>114</v>
      </c>
      <c r="C219" s="24" t="s">
        <v>102</v>
      </c>
      <c r="D219" s="33" t="s">
        <v>16</v>
      </c>
      <c r="E219" s="24" t="n">
        <v>10</v>
      </c>
      <c r="F219" s="24" t="s">
        <v>173</v>
      </c>
      <c r="G219" s="24" t="s">
        <v>174</v>
      </c>
      <c r="H219" s="24" t="s">
        <v>175</v>
      </c>
      <c r="I219" s="24" t="s">
        <v>129</v>
      </c>
      <c r="J219" s="24"/>
      <c r="K219" s="24"/>
      <c r="L219" s="24" t="s">
        <v>176</v>
      </c>
      <c r="M219" s="28" t="s">
        <v>254</v>
      </c>
      <c r="N219" s="28" t="s">
        <v>255</v>
      </c>
    </row>
    <row r="220" customFormat="false" ht="15" hidden="false" customHeight="false" outlineLevel="0" collapsed="false">
      <c r="A220" s="24" t="s">
        <v>113</v>
      </c>
      <c r="B220" s="24" t="s">
        <v>114</v>
      </c>
      <c r="C220" s="24" t="s">
        <v>102</v>
      </c>
      <c r="D220" s="33" t="s">
        <v>16</v>
      </c>
      <c r="E220" s="24" t="n">
        <v>11</v>
      </c>
      <c r="F220" s="24" t="s">
        <v>256</v>
      </c>
      <c r="G220" s="24" t="s">
        <v>174</v>
      </c>
      <c r="H220" s="24" t="s">
        <v>257</v>
      </c>
      <c r="I220" s="24" t="s">
        <v>129</v>
      </c>
      <c r="J220" s="24"/>
      <c r="K220" s="24"/>
      <c r="L220" s="24" t="s">
        <v>176</v>
      </c>
      <c r="M220" s="28" t="s">
        <v>254</v>
      </c>
      <c r="N220" s="28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70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11" t="s">
        <v>41</v>
      </c>
      <c r="B1" s="11" t="s">
        <v>548</v>
      </c>
      <c r="C1" s="11" t="s">
        <v>549</v>
      </c>
      <c r="D1" s="11" t="s">
        <v>550</v>
      </c>
      <c r="E1" s="11" t="s">
        <v>44</v>
      </c>
    </row>
    <row r="2" customFormat="false" ht="23.85" hidden="false" customHeight="false" outlineLevel="0" collapsed="false">
      <c r="A2" s="12" t="s">
        <v>51</v>
      </c>
      <c r="B2" s="12" t="s">
        <v>551</v>
      </c>
      <c r="C2" s="14" t="s">
        <v>552</v>
      </c>
      <c r="D2" s="14" t="s">
        <v>553</v>
      </c>
      <c r="E2" s="13" t="s">
        <v>10</v>
      </c>
    </row>
    <row r="3" customFormat="false" ht="15" hidden="false" customHeight="false" outlineLevel="0" collapsed="false">
      <c r="A3" s="12" t="s">
        <v>57</v>
      </c>
      <c r="B3" s="12" t="s">
        <v>554</v>
      </c>
      <c r="C3" s="14" t="s">
        <v>555</v>
      </c>
      <c r="D3" s="14" t="s">
        <v>556</v>
      </c>
      <c r="E3" s="15" t="s">
        <v>14</v>
      </c>
    </row>
    <row r="4" customFormat="false" ht="15" hidden="false" customHeight="false" outlineLevel="0" collapsed="false">
      <c r="A4" s="12" t="s">
        <v>60</v>
      </c>
      <c r="B4" s="12" t="s">
        <v>554</v>
      </c>
      <c r="C4" s="14" t="s">
        <v>557</v>
      </c>
      <c r="D4" s="14" t="s">
        <v>558</v>
      </c>
      <c r="E4" s="16" t="s">
        <v>12</v>
      </c>
    </row>
    <row r="5" customFormat="false" ht="15" hidden="false" customHeight="false" outlineLevel="0" collapsed="false">
      <c r="A5" s="12" t="s">
        <v>64</v>
      </c>
      <c r="B5" s="12" t="s">
        <v>554</v>
      </c>
      <c r="C5" s="14" t="s">
        <v>559</v>
      </c>
      <c r="D5" s="14" t="s">
        <v>560</v>
      </c>
      <c r="E5" s="16" t="s">
        <v>12</v>
      </c>
    </row>
    <row r="6" customFormat="false" ht="15" hidden="false" customHeight="false" outlineLevel="0" collapsed="false">
      <c r="A6" s="12" t="s">
        <v>64</v>
      </c>
      <c r="B6" s="12" t="s">
        <v>551</v>
      </c>
      <c r="C6" s="14" t="s">
        <v>561</v>
      </c>
      <c r="D6" s="14" t="s">
        <v>562</v>
      </c>
      <c r="E6" s="16" t="s">
        <v>12</v>
      </c>
    </row>
    <row r="7" customFormat="false" ht="15" hidden="false" customHeight="false" outlineLevel="0" collapsed="false">
      <c r="A7" s="12" t="s">
        <v>64</v>
      </c>
      <c r="B7" s="12" t="s">
        <v>551</v>
      </c>
      <c r="C7" s="14" t="s">
        <v>563</v>
      </c>
      <c r="D7" s="14" t="s">
        <v>564</v>
      </c>
      <c r="E7" s="16" t="s">
        <v>12</v>
      </c>
    </row>
    <row r="8" customFormat="false" ht="15" hidden="false" customHeight="false" outlineLevel="0" collapsed="false">
      <c r="A8" s="12" t="s">
        <v>64</v>
      </c>
      <c r="B8" s="12" t="s">
        <v>565</v>
      </c>
      <c r="C8" s="14" t="s">
        <v>566</v>
      </c>
      <c r="D8" s="14" t="s">
        <v>567</v>
      </c>
      <c r="E8" s="16" t="s">
        <v>12</v>
      </c>
    </row>
    <row r="9" customFormat="false" ht="15" hidden="false" customHeight="false" outlineLevel="0" collapsed="false">
      <c r="A9" s="12" t="s">
        <v>67</v>
      </c>
      <c r="B9" s="12" t="s">
        <v>554</v>
      </c>
      <c r="C9" s="14" t="s">
        <v>568</v>
      </c>
      <c r="D9" s="14" t="s">
        <v>569</v>
      </c>
      <c r="E9" s="16" t="s">
        <v>12</v>
      </c>
    </row>
    <row r="10" customFormat="false" ht="15" hidden="false" customHeight="false" outlineLevel="0" collapsed="false">
      <c r="A10" s="12" t="s">
        <v>70</v>
      </c>
      <c r="B10" s="12" t="s">
        <v>554</v>
      </c>
      <c r="C10" s="14" t="s">
        <v>559</v>
      </c>
      <c r="D10" s="14" t="s">
        <v>560</v>
      </c>
      <c r="E10" s="16" t="s">
        <v>12</v>
      </c>
    </row>
    <row r="11" customFormat="false" ht="15" hidden="false" customHeight="false" outlineLevel="0" collapsed="false">
      <c r="A11" s="12" t="s">
        <v>73</v>
      </c>
      <c r="B11" s="12" t="s">
        <v>554</v>
      </c>
      <c r="C11" s="14" t="s">
        <v>570</v>
      </c>
      <c r="D11" s="14" t="s">
        <v>571</v>
      </c>
      <c r="E11" s="16" t="s">
        <v>12</v>
      </c>
    </row>
    <row r="12" customFormat="false" ht="15" hidden="false" customHeight="false" outlineLevel="0" collapsed="false">
      <c r="A12" s="12" t="s">
        <v>76</v>
      </c>
      <c r="B12" s="12" t="s">
        <v>554</v>
      </c>
      <c r="C12" s="14" t="s">
        <v>572</v>
      </c>
      <c r="D12" s="14" t="s">
        <v>573</v>
      </c>
      <c r="E12" s="16" t="s">
        <v>12</v>
      </c>
    </row>
    <row r="13" customFormat="false" ht="23.85" hidden="false" customHeight="false" outlineLevel="0" collapsed="false">
      <c r="A13" s="12" t="s">
        <v>76</v>
      </c>
      <c r="B13" s="12" t="s">
        <v>574</v>
      </c>
      <c r="C13" s="14" t="s">
        <v>575</v>
      </c>
      <c r="D13" s="14" t="s">
        <v>576</v>
      </c>
      <c r="E13" s="16" t="s">
        <v>12</v>
      </c>
    </row>
    <row r="14" customFormat="false" ht="15" hidden="false" customHeight="false" outlineLevel="0" collapsed="false">
      <c r="A14" s="12" t="s">
        <v>80</v>
      </c>
      <c r="B14" s="12" t="s">
        <v>551</v>
      </c>
      <c r="C14" s="14" t="s">
        <v>577</v>
      </c>
      <c r="D14" s="14" t="s">
        <v>578</v>
      </c>
      <c r="E14" s="16" t="s">
        <v>12</v>
      </c>
    </row>
    <row r="15" customFormat="false" ht="15" hidden="false" customHeight="false" outlineLevel="0" collapsed="false">
      <c r="A15" s="12" t="s">
        <v>87</v>
      </c>
      <c r="B15" s="12" t="s">
        <v>554</v>
      </c>
      <c r="C15" s="14" t="s">
        <v>579</v>
      </c>
      <c r="D15" s="14" t="s">
        <v>580</v>
      </c>
      <c r="E15" s="16" t="s">
        <v>12</v>
      </c>
    </row>
    <row r="16" customFormat="false" ht="15" hidden="false" customHeight="false" outlineLevel="0" collapsed="false">
      <c r="A16" s="12" t="s">
        <v>100</v>
      </c>
      <c r="B16" s="12" t="s">
        <v>554</v>
      </c>
      <c r="C16" s="14" t="s">
        <v>581</v>
      </c>
      <c r="D16" s="14" t="s">
        <v>582</v>
      </c>
      <c r="E16" s="17" t="s">
        <v>16</v>
      </c>
    </row>
    <row r="17" customFormat="false" ht="23.85" hidden="false" customHeight="false" outlineLevel="0" collapsed="false">
      <c r="A17" s="12" t="s">
        <v>104</v>
      </c>
      <c r="B17" s="12" t="s">
        <v>554</v>
      </c>
      <c r="C17" s="14" t="s">
        <v>583</v>
      </c>
      <c r="D17" s="14" t="s">
        <v>584</v>
      </c>
      <c r="E17" s="17" t="s">
        <v>16</v>
      </c>
    </row>
    <row r="18" customFormat="false" ht="15" hidden="false" customHeight="false" outlineLevel="0" collapsed="false">
      <c r="A18" s="12" t="s">
        <v>107</v>
      </c>
      <c r="B18" s="12" t="s">
        <v>554</v>
      </c>
      <c r="C18" s="14" t="s">
        <v>585</v>
      </c>
      <c r="D18" s="14" t="s">
        <v>586</v>
      </c>
      <c r="E18" s="17" t="s">
        <v>16</v>
      </c>
    </row>
    <row r="19" customFormat="false" ht="15" hidden="false" customHeight="false" outlineLevel="0" collapsed="false">
      <c r="A19" s="12" t="s">
        <v>110</v>
      </c>
      <c r="B19" s="12" t="s">
        <v>554</v>
      </c>
      <c r="C19" s="14" t="s">
        <v>587</v>
      </c>
      <c r="D19" s="14" t="s">
        <v>588</v>
      </c>
      <c r="E19" s="1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2026-10-04T17:13:19Z</dcterms:created>
  <dc:creator>openpyxl</dc:creator>
  <dc:description/>
  <dc:language>en-US</dc:language>
  <cp:lastModifiedBy/>
  <dcterms:modified xsi:type="dcterms:W3CDTF">2026-10-04T17:13:19Z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