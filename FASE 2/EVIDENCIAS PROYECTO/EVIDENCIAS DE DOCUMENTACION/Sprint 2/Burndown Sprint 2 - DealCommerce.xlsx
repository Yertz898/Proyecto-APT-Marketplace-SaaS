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coc66\Downloads\"/>
    </mc:Choice>
  </mc:AlternateContent>
  <xr:revisionPtr revIDLastSave="0" documentId="13_ncr:1_{1E727823-DA12-4BB1-A03F-013270609DD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print 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1" l="1"/>
  <c r="C20" i="1" s="1"/>
  <c r="D20" i="1" s="1"/>
  <c r="E20" i="1" s="1"/>
  <c r="F20" i="1" s="1"/>
  <c r="G20" i="1" s="1"/>
  <c r="H20" i="1" s="1"/>
  <c r="I20" i="1" s="1"/>
  <c r="J20" i="1" s="1"/>
  <c r="K20" i="1" s="1"/>
  <c r="L20" i="1" s="1"/>
  <c r="M20" i="1" s="1"/>
  <c r="N20" i="1" s="1"/>
  <c r="O20" i="1" s="1"/>
  <c r="P20" i="1" s="1"/>
  <c r="Q20" i="1" s="1"/>
  <c r="R20" i="1" s="1"/>
  <c r="S20" i="1" s="1"/>
  <c r="T20" i="1" s="1"/>
  <c r="U20" i="1" s="1"/>
  <c r="V20" i="1" s="1"/>
  <c r="B18" i="1"/>
  <c r="C18" i="1" s="1"/>
  <c r="D18" i="1" s="1"/>
  <c r="E18" i="1" s="1"/>
  <c r="F18" i="1" s="1"/>
  <c r="G18" i="1" s="1"/>
  <c r="H18" i="1" s="1"/>
  <c r="I18" i="1" s="1"/>
  <c r="J18" i="1" s="1"/>
  <c r="K18" i="1" s="1"/>
  <c r="L18" i="1" s="1"/>
  <c r="M18" i="1" s="1"/>
  <c r="N18" i="1" s="1"/>
  <c r="O18" i="1" s="1"/>
  <c r="P18" i="1" s="1"/>
  <c r="Q18" i="1" s="1"/>
  <c r="R18" i="1" s="1"/>
  <c r="S18" i="1" s="1"/>
  <c r="T18" i="1" s="1"/>
  <c r="U18" i="1" s="1"/>
  <c r="V18" i="1" s="1"/>
  <c r="W16" i="1"/>
  <c r="W15" i="1"/>
  <c r="W14" i="1"/>
  <c r="W13" i="1"/>
  <c r="W12" i="1"/>
  <c r="W11" i="1"/>
  <c r="W10" i="1"/>
  <c r="W9" i="1"/>
  <c r="W8" i="1"/>
  <c r="W7" i="1"/>
  <c r="W6" i="1"/>
  <c r="W5" i="1"/>
</calcChain>
</file>

<file path=xl/sharedStrings.xml><?xml version="1.0" encoding="utf-8"?>
<sst xmlns="http://schemas.openxmlformats.org/spreadsheetml/2006/main" count="20" uniqueCount="20">
  <si>
    <t>horas estimadas</t>
  </si>
  <si>
    <t>Estimadas de producto por realizar</t>
  </si>
  <si>
    <t>Reales de producto por realizar</t>
  </si>
  <si>
    <t>Historias de Usuario o Spike</t>
  </si>
  <si>
    <t>DIA</t>
  </si>
  <si>
    <t>Control del Sprint</t>
  </si>
  <si>
    <t>Total</t>
  </si>
  <si>
    <t>Sprint 2 · DealCommerce · del 23-09-2026 al 12-10-2026</t>
  </si>
  <si>
    <t>H1-EP01 · Panel acotado al rol y al plan</t>
  </si>
  <si>
    <t>H1-EP02 · Registro de producto según su forma de venta</t>
  </si>
  <si>
    <t>H2-EP02 · Fotografía del producto</t>
  </si>
  <si>
    <t>H3-EP02 · Carga masiva del catálogo desde planilla</t>
  </si>
  <si>
    <t>H4-EP02 · Carga masiva de fotografías comprimidas</t>
  </si>
  <si>
    <t>H5-EP02 · Estado del inventario de un vistazo</t>
  </si>
  <si>
    <t>H6-EP02 · Identidad visual de la tienda</t>
  </si>
  <si>
    <t>H1-EP05 · Catálogo público y vitrina de la tienda</t>
  </si>
  <si>
    <t>H2-EP05 · Precio exacto de la cantidad pedida</t>
  </si>
  <si>
    <t>H1-EP06 · Precios por volumen en tramos</t>
  </si>
  <si>
    <t>H2-EP06 · Aviso de conveniencia por volumen</t>
  </si>
  <si>
    <t>TEC-03 · Documentación del repositorio y del alcance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</si>
</sst>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0" fillId="2" borderId="0" xfId="0" applyFill="1"/>
    <xf numFmtId="0" fontId="0" fillId="0" borderId="0" xfId="0" applyAlignment="1">
      <alignment horizontal="center" wrapText="1"/>
    </xf>
    <xf numFmtId="0" fontId="1" fillId="0" borderId="0" xfId="0" applyFont="1"/>
    <xf numFmtId="0" fontId="0" fillId="0" borderId="0" xfId="0" applyAlignment="1">
      <alignment wrapText="1"/>
    </xf>
    <xf numFmtId="0" fontId="0" fillId="2" borderId="2" xfId="0" applyFill="1" applyBorder="1"/>
    <xf numFmtId="0" fontId="0" fillId="2" borderId="4" xfId="0" applyFill="1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2" borderId="5" xfId="0" applyFill="1" applyBorder="1" applyAlignment="1">
      <alignment horizontal="center" wrapText="1"/>
    </xf>
    <xf numFmtId="0" fontId="0" fillId="0" borderId="3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4" xfId="0" applyBorder="1"/>
    <xf numFmtId="0" fontId="0" fillId="0" borderId="10" xfId="0" applyBorder="1"/>
    <xf numFmtId="0" fontId="0" fillId="0" borderId="6" xfId="0" applyBorder="1"/>
    <xf numFmtId="0" fontId="0" fillId="0" borderId="2" xfId="0" applyBorder="1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s-CL"/>
              <a:t>BurnDown Trabajo Pendiente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'Sprint 2'!$A$18</c:f>
              <c:strCache>
                <c:ptCount val="1"/>
                <c:pt idx="0">
                  <c:v>Reales de producto por realizar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'Sprint 2'!$C$4:$V$4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'Sprint 2'!$B$18:$V$18</c:f>
              <c:numCache>
                <c:formatCode>General</c:formatCode>
                <c:ptCount val="21"/>
                <c:pt idx="0">
                  <c:v>205</c:v>
                </c:pt>
                <c:pt idx="1">
                  <c:v>196</c:v>
                </c:pt>
                <c:pt idx="2">
                  <c:v>184</c:v>
                </c:pt>
                <c:pt idx="3">
                  <c:v>174</c:v>
                </c:pt>
                <c:pt idx="4">
                  <c:v>162</c:v>
                </c:pt>
                <c:pt idx="5">
                  <c:v>153</c:v>
                </c:pt>
                <c:pt idx="6">
                  <c:v>141</c:v>
                </c:pt>
                <c:pt idx="7">
                  <c:v>131</c:v>
                </c:pt>
                <c:pt idx="8">
                  <c:v>122</c:v>
                </c:pt>
                <c:pt idx="9">
                  <c:v>110</c:v>
                </c:pt>
                <c:pt idx="10">
                  <c:v>100</c:v>
                </c:pt>
                <c:pt idx="11">
                  <c:v>90</c:v>
                </c:pt>
                <c:pt idx="12">
                  <c:v>78</c:v>
                </c:pt>
                <c:pt idx="13">
                  <c:v>66</c:v>
                </c:pt>
                <c:pt idx="14">
                  <c:v>56</c:v>
                </c:pt>
                <c:pt idx="15">
                  <c:v>47</c:v>
                </c:pt>
                <c:pt idx="16">
                  <c:v>40</c:v>
                </c:pt>
                <c:pt idx="17">
                  <c:v>32</c:v>
                </c:pt>
                <c:pt idx="18">
                  <c:v>25</c:v>
                </c:pt>
                <c:pt idx="19">
                  <c:v>13</c:v>
                </c:pt>
                <c:pt idx="2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E9-4F42-9DD6-22C700B0EEB4}"/>
            </c:ext>
          </c:extLst>
        </c:ser>
        <c:ser>
          <c:idx val="1"/>
          <c:order val="1"/>
          <c:tx>
            <c:strRef>
              <c:f>'Sprint 2'!$A$20</c:f>
              <c:strCache>
                <c:ptCount val="1"/>
                <c:pt idx="0">
                  <c:v>Estimadas de producto por realizar</c:v>
                </c:pt>
              </c:strCache>
            </c:strRef>
          </c:tx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'Sprint 2'!$C$4:$V$4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'Sprint 2'!$B$20:$V$20</c:f>
              <c:numCache>
                <c:formatCode>General</c:formatCode>
                <c:ptCount val="21"/>
                <c:pt idx="0">
                  <c:v>205</c:v>
                </c:pt>
                <c:pt idx="1">
                  <c:v>194.75</c:v>
                </c:pt>
                <c:pt idx="2">
                  <c:v>184.5</c:v>
                </c:pt>
                <c:pt idx="3">
                  <c:v>174.25</c:v>
                </c:pt>
                <c:pt idx="4">
                  <c:v>164</c:v>
                </c:pt>
                <c:pt idx="5">
                  <c:v>153.75</c:v>
                </c:pt>
                <c:pt idx="6">
                  <c:v>143.5</c:v>
                </c:pt>
                <c:pt idx="7">
                  <c:v>133.25</c:v>
                </c:pt>
                <c:pt idx="8">
                  <c:v>123</c:v>
                </c:pt>
                <c:pt idx="9">
                  <c:v>112.75</c:v>
                </c:pt>
                <c:pt idx="10">
                  <c:v>102.5</c:v>
                </c:pt>
                <c:pt idx="11">
                  <c:v>92.25</c:v>
                </c:pt>
                <c:pt idx="12">
                  <c:v>82</c:v>
                </c:pt>
                <c:pt idx="13">
                  <c:v>71.75</c:v>
                </c:pt>
                <c:pt idx="14">
                  <c:v>61.5</c:v>
                </c:pt>
                <c:pt idx="15">
                  <c:v>51.25</c:v>
                </c:pt>
                <c:pt idx="16">
                  <c:v>41</c:v>
                </c:pt>
                <c:pt idx="17">
                  <c:v>30.75</c:v>
                </c:pt>
                <c:pt idx="18">
                  <c:v>20.5</c:v>
                </c:pt>
                <c:pt idx="19">
                  <c:v>10.25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E9-4F42-9DD6-22C700B0EE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1559392"/>
        <c:axId val="341559784"/>
      </c:lineChart>
      <c:catAx>
        <c:axId val="341559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DIA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341559784"/>
        <c:crosses val="autoZero"/>
        <c:auto val="1"/>
        <c:lblAlgn val="ctr"/>
        <c:lblOffset val="100"/>
        <c:noMultiLvlLbl val="0"/>
      </c:catAx>
      <c:valAx>
        <c:axId val="341559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HORAS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341559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161925</xdr:colOff>
      <xdr:row>1</xdr:row>
      <xdr:rowOff>147637</xdr:rowOff>
    </xdr:from>
    <xdr:to>
      <xdr:col>28</xdr:col>
      <xdr:colOff>114300</xdr:colOff>
      <xdr:row>24</xdr:row>
      <xdr:rowOff>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1"/>
  <sheetViews>
    <sheetView tabSelected="1" workbookViewId="0">
      <selection activeCell="AC9" sqref="AC9"/>
    </sheetView>
  </sheetViews>
  <sheetFormatPr baseColWidth="10" defaultRowHeight="15" x14ac:dyDescent="0.25"/>
  <cols>
    <col min="1" max="1" width="25.42578125" customWidth="1"/>
    <col min="2" max="2" width="17" customWidth="1"/>
    <col min="3" max="3" width="7" bestFit="1" customWidth="1"/>
    <col min="4" max="4" width="6" bestFit="1" customWidth="1"/>
    <col min="5" max="5" width="7" bestFit="1" customWidth="1"/>
    <col min="6" max="6" width="5.7109375" customWidth="1"/>
    <col min="7" max="7" width="7" bestFit="1" customWidth="1"/>
    <col min="8" max="8" width="6" bestFit="1" customWidth="1"/>
    <col min="9" max="9" width="7" bestFit="1" customWidth="1"/>
    <col min="10" max="10" width="5.7109375" customWidth="1"/>
    <col min="11" max="11" width="7" bestFit="1" customWidth="1"/>
    <col min="12" max="13" width="6" bestFit="1" customWidth="1"/>
    <col min="14" max="14" width="5.7109375" customWidth="1"/>
    <col min="15" max="15" width="6" bestFit="1" customWidth="1"/>
    <col min="16" max="16" width="5.7109375" customWidth="1"/>
    <col min="17" max="17" width="6" bestFit="1" customWidth="1"/>
    <col min="18" max="18" width="5.7109375" customWidth="1"/>
    <col min="19" max="19" width="6" bestFit="1" customWidth="1"/>
    <col min="20" max="20" width="5.7109375" customWidth="1"/>
    <col min="21" max="21" width="6" bestFit="1" customWidth="1"/>
    <col min="22" max="23" width="5.7109375" customWidth="1"/>
  </cols>
  <sheetData>
    <row r="1" spans="1:23" ht="21" x14ac:dyDescent="0.35">
      <c r="A1" s="4" t="s">
        <v>5</v>
      </c>
      <c r="B1" t="s">
        <v>7</v>
      </c>
    </row>
    <row r="3" spans="1:23" x14ac:dyDescent="0.25">
      <c r="A3" s="18" t="s">
        <v>3</v>
      </c>
      <c r="B3" s="18" t="s">
        <v>0</v>
      </c>
      <c r="C3" s="18" t="s">
        <v>4</v>
      </c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9" t="s">
        <v>6</v>
      </c>
    </row>
    <row r="4" spans="1:23" x14ac:dyDescent="0.25">
      <c r="A4" s="18"/>
      <c r="B4" s="18"/>
      <c r="C4" s="10">
        <v>1</v>
      </c>
      <c r="D4" s="10">
        <v>2</v>
      </c>
      <c r="E4" s="10">
        <v>3</v>
      </c>
      <c r="F4" s="10">
        <v>4</v>
      </c>
      <c r="G4" s="10">
        <v>5</v>
      </c>
      <c r="H4" s="10">
        <v>6</v>
      </c>
      <c r="I4" s="10">
        <v>7</v>
      </c>
      <c r="J4" s="10">
        <v>8</v>
      </c>
      <c r="K4" s="10">
        <v>9</v>
      </c>
      <c r="L4" s="10">
        <v>10</v>
      </c>
      <c r="M4" s="10">
        <v>11</v>
      </c>
      <c r="N4" s="10">
        <v>12</v>
      </c>
      <c r="O4" s="10">
        <v>13</v>
      </c>
      <c r="P4" s="10">
        <v>14</v>
      </c>
      <c r="Q4" s="10">
        <v>15</v>
      </c>
      <c r="R4" s="10">
        <v>16</v>
      </c>
      <c r="S4" s="10">
        <v>17</v>
      </c>
      <c r="T4" s="10">
        <v>18</v>
      </c>
      <c r="U4" s="10">
        <v>19</v>
      </c>
      <c r="V4" s="10">
        <v>20</v>
      </c>
      <c r="W4" s="20"/>
    </row>
    <row r="5" spans="1:23" x14ac:dyDescent="0.25">
      <c r="A5" s="6" t="s">
        <v>8</v>
      </c>
      <c r="B5" s="7">
        <v>15</v>
      </c>
      <c r="C5" s="11">
        <v>9</v>
      </c>
      <c r="D5" s="12">
        <v>6</v>
      </c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0">
        <f>SUM(C5:V5)</f>
        <v>15</v>
      </c>
    </row>
    <row r="6" spans="1:23" x14ac:dyDescent="0.25">
      <c r="A6" s="1" t="s">
        <v>9</v>
      </c>
      <c r="B6" s="8">
        <v>28</v>
      </c>
      <c r="C6" s="13"/>
      <c r="D6">
        <v>6</v>
      </c>
      <c r="E6">
        <v>10</v>
      </c>
      <c r="F6">
        <v>12</v>
      </c>
      <c r="W6" s="16">
        <f>SUM(C6:V6)</f>
        <v>28</v>
      </c>
    </row>
    <row r="7" spans="1:23" x14ac:dyDescent="0.25">
      <c r="A7" s="2" t="s">
        <v>10</v>
      </c>
      <c r="B7" s="9">
        <v>12</v>
      </c>
      <c r="C7" s="13"/>
      <c r="G7">
        <v>9</v>
      </c>
      <c r="H7">
        <v>3</v>
      </c>
      <c r="W7" s="16">
        <f>SUM(C7:V7)</f>
        <v>12</v>
      </c>
    </row>
    <row r="8" spans="1:23" x14ac:dyDescent="0.25">
      <c r="A8" s="1" t="s">
        <v>11</v>
      </c>
      <c r="B8" s="8">
        <v>31</v>
      </c>
      <c r="C8" s="13"/>
      <c r="H8">
        <v>9</v>
      </c>
      <c r="I8">
        <v>10</v>
      </c>
      <c r="J8">
        <v>9</v>
      </c>
      <c r="K8">
        <v>3</v>
      </c>
      <c r="W8" s="16">
        <f>SUM(C8:V8)</f>
        <v>31</v>
      </c>
    </row>
    <row r="9" spans="1:23" x14ac:dyDescent="0.25">
      <c r="A9" s="1" t="s">
        <v>12</v>
      </c>
      <c r="B9" s="8">
        <v>13</v>
      </c>
      <c r="C9" s="13"/>
      <c r="K9">
        <v>9</v>
      </c>
      <c r="L9">
        <v>4</v>
      </c>
      <c r="W9" s="16">
        <f>SUM(C9:V9)</f>
        <v>13</v>
      </c>
    </row>
    <row r="10" spans="1:23" x14ac:dyDescent="0.25">
      <c r="A10" s="1" t="s">
        <v>13</v>
      </c>
      <c r="B10" s="8">
        <v>12</v>
      </c>
      <c r="C10" s="13"/>
      <c r="L10">
        <v>6</v>
      </c>
      <c r="M10">
        <v>6</v>
      </c>
      <c r="W10" s="16">
        <f>SUM(C10:V10)</f>
        <v>12</v>
      </c>
    </row>
    <row r="11" spans="1:23" x14ac:dyDescent="0.25">
      <c r="A11" s="1" t="s">
        <v>14</v>
      </c>
      <c r="B11" s="8">
        <v>16</v>
      </c>
      <c r="C11" s="13"/>
      <c r="M11">
        <v>4</v>
      </c>
      <c r="N11">
        <v>12</v>
      </c>
      <c r="W11" s="16">
        <f>SUM(C11:V11)</f>
        <v>16</v>
      </c>
    </row>
    <row r="12" spans="1:23" x14ac:dyDescent="0.25">
      <c r="A12" s="1" t="s">
        <v>15</v>
      </c>
      <c r="B12" s="8">
        <v>16</v>
      </c>
      <c r="C12" s="13"/>
      <c r="O12">
        <v>12</v>
      </c>
      <c r="P12">
        <v>4</v>
      </c>
      <c r="W12" s="16">
        <f>SUM(C12:V12)</f>
        <v>16</v>
      </c>
    </row>
    <row r="13" spans="1:23" x14ac:dyDescent="0.25">
      <c r="A13" s="1" t="s">
        <v>16</v>
      </c>
      <c r="B13" s="8">
        <v>18</v>
      </c>
      <c r="C13" s="13"/>
      <c r="P13">
        <v>6</v>
      </c>
      <c r="Q13">
        <v>9</v>
      </c>
      <c r="R13">
        <v>3</v>
      </c>
      <c r="W13" s="16">
        <f>SUM(C13:V13)</f>
        <v>18</v>
      </c>
    </row>
    <row r="14" spans="1:23" x14ac:dyDescent="0.25">
      <c r="A14" s="1" t="s">
        <v>17</v>
      </c>
      <c r="B14" s="8">
        <v>14</v>
      </c>
      <c r="C14" s="13"/>
      <c r="R14">
        <v>4</v>
      </c>
      <c r="S14">
        <v>8</v>
      </c>
      <c r="T14">
        <v>2</v>
      </c>
      <c r="W14" s="16">
        <f>SUM(C14:V14)</f>
        <v>14</v>
      </c>
    </row>
    <row r="15" spans="1:23" x14ac:dyDescent="0.25">
      <c r="A15" s="1" t="s">
        <v>18</v>
      </c>
      <c r="B15" s="8">
        <v>8</v>
      </c>
      <c r="C15" s="13"/>
      <c r="T15">
        <v>5</v>
      </c>
      <c r="U15">
        <v>3</v>
      </c>
      <c r="W15" s="16">
        <f>SUM(C15:V15)</f>
        <v>8</v>
      </c>
    </row>
    <row r="16" spans="1:23" x14ac:dyDescent="0.25">
      <c r="A16" s="1" t="s">
        <v>19</v>
      </c>
      <c r="B16" s="8">
        <v>22</v>
      </c>
      <c r="C16" s="14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>
        <v>9</v>
      </c>
      <c r="V16" s="15">
        <v>12</v>
      </c>
      <c r="W16" s="17">
        <f>SUM(C16:V16)</f>
        <v>21</v>
      </c>
    </row>
    <row r="18" spans="1:22" ht="30" x14ac:dyDescent="0.25">
      <c r="A18" s="5" t="s">
        <v>2</v>
      </c>
      <c r="B18">
        <f>SUM(B5:B17)</f>
        <v>205</v>
      </c>
      <c r="C18">
        <f>B18-SUM(C5:C16)</f>
        <v>196</v>
      </c>
      <c r="D18">
        <f>C18-SUM(D5:D16)</f>
        <v>184</v>
      </c>
      <c r="E18">
        <f>D18-SUM(E5:E16)</f>
        <v>174</v>
      </c>
      <c r="F18">
        <f>E18-SUM(F5:F16)</f>
        <v>162</v>
      </c>
      <c r="G18">
        <f>F18-SUM(G5:G16)</f>
        <v>153</v>
      </c>
      <c r="H18">
        <f>G18-SUM(H5:H16)</f>
        <v>141</v>
      </c>
      <c r="I18">
        <f>H18-SUM(I5:I16)</f>
        <v>131</v>
      </c>
      <c r="J18">
        <f>I18-SUM(J5:J16)</f>
        <v>122</v>
      </c>
      <c r="K18">
        <f>J18-SUM(K5:K16)</f>
        <v>110</v>
      </c>
      <c r="L18">
        <f>K18-SUM(L5:L16)</f>
        <v>100</v>
      </c>
      <c r="M18">
        <f>L18-SUM(M5:M16)</f>
        <v>90</v>
      </c>
      <c r="N18">
        <f>M18-SUM(N5:N16)</f>
        <v>78</v>
      </c>
      <c r="O18">
        <f>N18-SUM(O5:O16)</f>
        <v>66</v>
      </c>
      <c r="P18">
        <f>O18-SUM(P5:P16)</f>
        <v>56</v>
      </c>
      <c r="Q18">
        <f>P18-SUM(Q5:Q16)</f>
        <v>47</v>
      </c>
      <c r="R18">
        <f>Q18-SUM(R5:R16)</f>
        <v>40</v>
      </c>
      <c r="S18">
        <f>R18-SUM(S5:S16)</f>
        <v>32</v>
      </c>
      <c r="T18">
        <f>S18-SUM(T5:T16)</f>
        <v>25</v>
      </c>
      <c r="U18">
        <f>T18-SUM(U5:U16)</f>
        <v>13</v>
      </c>
      <c r="V18">
        <f>U18-SUM(V5:V16)</f>
        <v>1</v>
      </c>
    </row>
    <row r="20" spans="1:22" ht="30" x14ac:dyDescent="0.25">
      <c r="A20" s="5" t="s">
        <v>1</v>
      </c>
      <c r="B20">
        <f>SUM(B5:B16)</f>
        <v>205</v>
      </c>
      <c r="C20">
        <f>B20-(SUM($B$5:$B$16)/20)</f>
        <v>194.75</v>
      </c>
      <c r="D20">
        <f>C20-(SUM($B$5:$B$16)/20)</f>
        <v>184.5</v>
      </c>
      <c r="E20">
        <f>D20-(SUM($B$5:$B$16)/20)</f>
        <v>174.25</v>
      </c>
      <c r="F20">
        <f>E20-(SUM($B$5:$B$16)/20)</f>
        <v>164</v>
      </c>
      <c r="G20">
        <f>F20-(SUM($B$5:$B$16)/20)</f>
        <v>153.75</v>
      </c>
      <c r="H20">
        <f>G20-(SUM($B$5:$B$16)/20)</f>
        <v>143.5</v>
      </c>
      <c r="I20">
        <f>H20-(SUM($B$5:$B$16)/20)</f>
        <v>133.25</v>
      </c>
      <c r="J20">
        <f>I20-(SUM($B$5:$B$16)/20)</f>
        <v>123</v>
      </c>
      <c r="K20">
        <f>J20-(SUM($B$5:$B$16)/20)</f>
        <v>112.75</v>
      </c>
      <c r="L20">
        <f>K20-(SUM($B$5:$B$16)/20)</f>
        <v>102.5</v>
      </c>
      <c r="M20">
        <f>L20-(SUM($B$5:$B$16)/20)</f>
        <v>92.25</v>
      </c>
      <c r="N20">
        <f>M20-(SUM($B$5:$B$16)/20)</f>
        <v>82</v>
      </c>
      <c r="O20">
        <f>N20-(SUM($B$5:$B$16)/20)</f>
        <v>71.75</v>
      </c>
      <c r="P20">
        <f>O20-(SUM($B$5:$B$16)/20)</f>
        <v>61.5</v>
      </c>
      <c r="Q20">
        <f>P20-(SUM($B$5:$B$16)/20)</f>
        <v>51.25</v>
      </c>
      <c r="R20">
        <f>Q20-(SUM($B$5:$B$16)/20)</f>
        <v>41</v>
      </c>
      <c r="S20">
        <f>R20-(SUM($B$5:$B$16)/20)</f>
        <v>30.75</v>
      </c>
      <c r="T20">
        <f>S20-(SUM($B$5:$B$16)/20)</f>
        <v>20.5</v>
      </c>
      <c r="U20">
        <f>T20-(SUM($B$5:$B$16)/20)</f>
        <v>10.25</v>
      </c>
      <c r="V20">
        <f>U20-(SUM($B$5:$B$16)/20)</f>
        <v>0</v>
      </c>
    </row>
    <row r="22" spans="1:22" x14ac:dyDescent="0.25">
      <c r="B22" s="3"/>
    </row>
    <row r="23" spans="1:22" x14ac:dyDescent="0.25">
      <c r="B23" s="3"/>
      <c r="G23" s="3"/>
    </row>
    <row r="24" spans="1:22" x14ac:dyDescent="0.25">
      <c r="B24" s="3"/>
      <c r="G24" s="3"/>
    </row>
    <row r="25" spans="1:22" x14ac:dyDescent="0.25">
      <c r="B25" s="3"/>
      <c r="G25" s="3"/>
    </row>
    <row r="26" spans="1:22" x14ac:dyDescent="0.25">
      <c r="B26" s="3"/>
      <c r="G26" s="3"/>
    </row>
    <row r="27" spans="1:22" x14ac:dyDescent="0.25">
      <c r="B27" s="3"/>
      <c r="G27" s="3"/>
    </row>
    <row r="28" spans="1:22" x14ac:dyDescent="0.25">
      <c r="B28" s="3"/>
      <c r="G28" s="3"/>
    </row>
    <row r="29" spans="1:22" x14ac:dyDescent="0.25">
      <c r="B29" s="3"/>
    </row>
    <row r="30" spans="1:22" x14ac:dyDescent="0.25">
      <c r="B30" s="3"/>
    </row>
    <row r="31" spans="1:22" x14ac:dyDescent="0.25">
      <c r="B31" s="3"/>
    </row>
  </sheetData>
  <mergeCells count="4">
    <mergeCell ref="C3:V3"/>
    <mergeCell ref="B3:B4"/>
    <mergeCell ref="A3:A4"/>
    <mergeCell ref="W3:W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Sprint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Rodrigo Galaz Silva</dc:creator>
  <cp:lastModifiedBy>PEDRO NICOLAS SANTIBANEZ BLACK</cp:lastModifiedBy>
  <dcterms:created xsi:type="dcterms:W3CDTF">2018-02-12T12:05:26Z</dcterms:created>
  <dcterms:modified xsi:type="dcterms:W3CDTF">2026-10-11T21:54:26Z</dcterms:modified>
</cp:coreProperties>
</file>