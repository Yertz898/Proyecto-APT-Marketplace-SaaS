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coc66\Downloads\"/>
    </mc:Choice>
  </mc:AlternateContent>
  <xr:revisionPtr revIDLastSave="0" documentId="13_ncr:1_{6F35FE54-D731-4227-ABE2-06EDE201F1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rin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C15" i="1" s="1"/>
  <c r="D15" i="1" s="1"/>
  <c r="E15" i="1" s="1"/>
  <c r="F15" i="1" s="1"/>
  <c r="G15" i="1" s="1"/>
  <c r="H15" i="1" s="1"/>
  <c r="I15" i="1" s="1"/>
  <c r="J15" i="1" s="1"/>
  <c r="K15" i="1" s="1"/>
  <c r="L15" i="1" s="1"/>
  <c r="M15" i="1" s="1"/>
  <c r="N15" i="1" s="1"/>
  <c r="O15" i="1" s="1"/>
  <c r="P15" i="1" s="1"/>
  <c r="Q15" i="1" s="1"/>
  <c r="B13" i="1"/>
  <c r="C13" i="1" s="1"/>
  <c r="D13" i="1" s="1"/>
  <c r="E13" i="1" s="1"/>
  <c r="F13" i="1" s="1"/>
  <c r="G13" i="1" s="1"/>
  <c r="H13" i="1" s="1"/>
  <c r="I13" i="1" s="1"/>
  <c r="J13" i="1" s="1"/>
  <c r="K13" i="1" s="1"/>
  <c r="L13" i="1" s="1"/>
  <c r="M13" i="1" s="1"/>
  <c r="N13" i="1" s="1"/>
  <c r="O13" i="1" s="1"/>
  <c r="P13" i="1" s="1"/>
  <c r="Q13" i="1" s="1"/>
  <c r="R11" i="1"/>
  <c r="R10" i="1"/>
  <c r="R9" i="1"/>
  <c r="R8" i="1"/>
  <c r="R7" i="1"/>
  <c r="R6" i="1"/>
  <c r="R5" i="1"/>
</calcChain>
</file>

<file path=xl/sharedStrings.xml><?xml version="1.0" encoding="utf-8"?>
<sst xmlns="http://schemas.openxmlformats.org/spreadsheetml/2006/main" count="15" uniqueCount="15">
  <si>
    <t>horas estimadas</t>
  </si>
  <si>
    <t>Estimadas de producto por realizar</t>
  </si>
  <si>
    <t>Reales de producto por realizar</t>
  </si>
  <si>
    <t>Historias de Usuario o Spike</t>
  </si>
  <si>
    <t>DIA</t>
  </si>
  <si>
    <t>Control del Sprint</t>
  </si>
  <si>
    <t>Total</t>
  </si>
  <si>
    <t>Sprint 1 · DealCommerce · del 08-09-2026 al 22-09-2026</t>
  </si>
  <si>
    <t>H4-EP01 · Aislamiento de datos entre tiendas</t>
  </si>
  <si>
    <t>H2-EP01 · Inicio de sesión en el panel de la tienda</t>
  </si>
  <si>
    <t>H3-EP01 · Registro y acceso del comprador</t>
  </si>
  <si>
    <t>H1-EP05 · Catálogo público y vitrina de la tienda</t>
  </si>
  <si>
    <t>H1-EP08 · Reserva de visita a la tienda</t>
  </si>
  <si>
    <t>TEC-01 · Portada de la plataforma y solicitud de acceso</t>
  </si>
  <si>
    <t>TEC-02 · Reglas del proyecto e integración continua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</si>
</sst>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2" borderId="0" xfId="0" applyFill="1"/>
    <xf numFmtId="0" fontId="0" fillId="0" borderId="0" xfId="0" applyAlignment="1">
      <alignment horizontal="center" wrapText="1"/>
    </xf>
    <xf numFmtId="0" fontId="1" fillId="0" borderId="0" xfId="0" applyFont="1"/>
    <xf numFmtId="0" fontId="0" fillId="0" borderId="0" xfId="0" applyAlignment="1">
      <alignment wrapText="1"/>
    </xf>
    <xf numFmtId="0" fontId="0" fillId="2" borderId="2" xfId="0" applyFill="1" applyBorder="1"/>
    <xf numFmtId="0" fontId="0" fillId="2" borderId="4" xfId="0" applyFill="1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4" xfId="0" applyBorder="1"/>
    <xf numFmtId="0" fontId="0" fillId="0" borderId="10" xfId="0" applyBorder="1"/>
    <xf numFmtId="0" fontId="0" fillId="0" borderId="6" xfId="0" applyBorder="1"/>
    <xf numFmtId="0" fontId="0" fillId="0" borderId="2" xfId="0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CL"/>
              <a:t>BurnDown Trabajo Pendiente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'Sprint 1'!$A$13</c:f>
              <c:strCache>
                <c:ptCount val="1"/>
                <c:pt idx="0">
                  <c:v>Reales de producto por realizar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'Sprint 1'!$C$4:$Q$4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'Sprint 1'!$B$13:$Q$13</c:f>
              <c:numCache>
                <c:formatCode>General</c:formatCode>
                <c:ptCount val="16"/>
                <c:pt idx="0">
                  <c:v>125</c:v>
                </c:pt>
                <c:pt idx="1">
                  <c:v>118</c:v>
                </c:pt>
                <c:pt idx="2">
                  <c:v>110</c:v>
                </c:pt>
                <c:pt idx="3">
                  <c:v>102</c:v>
                </c:pt>
                <c:pt idx="4">
                  <c:v>93</c:v>
                </c:pt>
                <c:pt idx="5">
                  <c:v>83</c:v>
                </c:pt>
                <c:pt idx="6">
                  <c:v>78</c:v>
                </c:pt>
                <c:pt idx="7">
                  <c:v>68</c:v>
                </c:pt>
                <c:pt idx="8">
                  <c:v>54</c:v>
                </c:pt>
                <c:pt idx="9">
                  <c:v>46</c:v>
                </c:pt>
                <c:pt idx="10">
                  <c:v>36</c:v>
                </c:pt>
                <c:pt idx="11">
                  <c:v>27</c:v>
                </c:pt>
                <c:pt idx="12">
                  <c:v>15</c:v>
                </c:pt>
                <c:pt idx="13">
                  <c:v>5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E9-4F42-9DD6-22C700B0EEB4}"/>
            </c:ext>
          </c:extLst>
        </c:ser>
        <c:ser>
          <c:idx val="1"/>
          <c:order val="1"/>
          <c:tx>
            <c:strRef>
              <c:f>'Sprint 1'!$A$15</c:f>
              <c:strCache>
                <c:ptCount val="1"/>
                <c:pt idx="0">
                  <c:v>Estimadas de producto por realizar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'Sprint 1'!$C$4:$Q$4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'Sprint 1'!$B$15:$Q$15</c:f>
              <c:numCache>
                <c:formatCode>General</c:formatCode>
                <c:ptCount val="16"/>
                <c:pt idx="0">
                  <c:v>125</c:v>
                </c:pt>
                <c:pt idx="1">
                  <c:v>116.66666666666667</c:v>
                </c:pt>
                <c:pt idx="2">
                  <c:v>108.33333333333334</c:v>
                </c:pt>
                <c:pt idx="3">
                  <c:v>100.00000000000001</c:v>
                </c:pt>
                <c:pt idx="4">
                  <c:v>91.666666666666686</c:v>
                </c:pt>
                <c:pt idx="5">
                  <c:v>83.333333333333357</c:v>
                </c:pt>
                <c:pt idx="6">
                  <c:v>75.000000000000028</c:v>
                </c:pt>
                <c:pt idx="7">
                  <c:v>66.6666666666667</c:v>
                </c:pt>
                <c:pt idx="8">
                  <c:v>58.333333333333364</c:v>
                </c:pt>
                <c:pt idx="9">
                  <c:v>50.000000000000028</c:v>
                </c:pt>
                <c:pt idx="10">
                  <c:v>41.666666666666693</c:v>
                </c:pt>
                <c:pt idx="11">
                  <c:v>33.333333333333357</c:v>
                </c:pt>
                <c:pt idx="12">
                  <c:v>25.000000000000021</c:v>
                </c:pt>
                <c:pt idx="13">
                  <c:v>16.666666666666686</c:v>
                </c:pt>
                <c:pt idx="14">
                  <c:v>8.3333333333333517</c:v>
                </c:pt>
                <c:pt idx="15">
                  <c:v>1.7763568394002505E-14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E9-4F42-9DD6-22C700B0EE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1559392"/>
        <c:axId val="341559784"/>
      </c:lineChart>
      <c:catAx>
        <c:axId val="341559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DIA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41559784"/>
        <c:crosses val="autoZero"/>
        <c:auto val="1"/>
        <c:lblAlgn val="ctr"/>
        <c:lblOffset val="100"/>
        <c:noMultiLvlLbl val="0"/>
      </c:catAx>
      <c:valAx>
        <c:axId val="341559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HORAS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41559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161925</xdr:colOff>
      <xdr:row>1</xdr:row>
      <xdr:rowOff>147637</xdr:rowOff>
    </xdr:from>
    <xdr:to>
      <xdr:col>23</xdr:col>
      <xdr:colOff>114300</xdr:colOff>
      <xdr:row>19</xdr:row>
      <xdr:rowOff>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"/>
  <sheetViews>
    <sheetView tabSelected="1" workbookViewId="0">
      <selection activeCell="AC9" sqref="AC9"/>
    </sheetView>
  </sheetViews>
  <sheetFormatPr baseColWidth="10" defaultRowHeight="15" x14ac:dyDescent="0.25"/>
  <cols>
    <col min="1" max="1" width="25.42578125" customWidth="1"/>
    <col min="2" max="2" width="17" customWidth="1"/>
    <col min="3" max="4" width="12" bestFit="1" customWidth="1"/>
    <col min="5" max="5" width="5.7109375" customWidth="1"/>
    <col min="6" max="7" width="12" bestFit="1" customWidth="1"/>
    <col min="8" max="8" width="5.7109375" customWidth="1"/>
    <col min="9" max="10" width="12" bestFit="1" customWidth="1"/>
    <col min="11" max="11" width="5.7109375" customWidth="1"/>
    <col min="12" max="13" width="12" bestFit="1" customWidth="1"/>
    <col min="14" max="14" width="5.7109375" customWidth="1"/>
    <col min="15" max="17" width="12" bestFit="1" customWidth="1"/>
    <col min="18" max="18" width="5.7109375" customWidth="1"/>
  </cols>
  <sheetData>
    <row r="1" spans="1:18" ht="21" x14ac:dyDescent="0.35">
      <c r="A1" s="4" t="s">
        <v>5</v>
      </c>
      <c r="B1" t="s">
        <v>7</v>
      </c>
    </row>
    <row r="3" spans="1:18" x14ac:dyDescent="0.25">
      <c r="A3" s="18" t="s">
        <v>3</v>
      </c>
      <c r="B3" s="18" t="s">
        <v>0</v>
      </c>
      <c r="C3" s="18" t="s">
        <v>4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9" t="s">
        <v>6</v>
      </c>
    </row>
    <row r="4" spans="1:18" x14ac:dyDescent="0.25">
      <c r="A4" s="18"/>
      <c r="B4" s="18"/>
      <c r="C4" s="10">
        <v>1</v>
      </c>
      <c r="D4" s="10">
        <v>2</v>
      </c>
      <c r="E4" s="10">
        <v>3</v>
      </c>
      <c r="F4" s="10">
        <v>4</v>
      </c>
      <c r="G4" s="10">
        <v>5</v>
      </c>
      <c r="H4" s="10">
        <v>6</v>
      </c>
      <c r="I4" s="10">
        <v>7</v>
      </c>
      <c r="J4" s="10">
        <v>8</v>
      </c>
      <c r="K4" s="10">
        <v>9</v>
      </c>
      <c r="L4" s="10">
        <v>10</v>
      </c>
      <c r="M4" s="10">
        <v>11</v>
      </c>
      <c r="N4" s="10">
        <v>12</v>
      </c>
      <c r="O4" s="10">
        <v>13</v>
      </c>
      <c r="P4" s="10">
        <v>14</v>
      </c>
      <c r="Q4" s="10">
        <v>15</v>
      </c>
      <c r="R4" s="20"/>
    </row>
    <row r="5" spans="1:18" x14ac:dyDescent="0.25">
      <c r="A5" s="6" t="s">
        <v>8</v>
      </c>
      <c r="B5" s="7">
        <v>19</v>
      </c>
      <c r="C5" s="11">
        <v>7</v>
      </c>
      <c r="D5" s="12">
        <v>8</v>
      </c>
      <c r="E5" s="12">
        <v>4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0">
        <f>SUM(C5:Q5)</f>
        <v>19</v>
      </c>
    </row>
    <row r="6" spans="1:18" x14ac:dyDescent="0.25">
      <c r="A6" s="1" t="s">
        <v>9</v>
      </c>
      <c r="B6" s="8">
        <v>16</v>
      </c>
      <c r="C6" s="13"/>
      <c r="E6">
        <v>4</v>
      </c>
      <c r="F6">
        <v>9</v>
      </c>
      <c r="G6">
        <v>3</v>
      </c>
      <c r="R6" s="16">
        <f>SUM(C6:Q6)</f>
        <v>16</v>
      </c>
    </row>
    <row r="7" spans="1:18" x14ac:dyDescent="0.25">
      <c r="A7" s="2" t="s">
        <v>10</v>
      </c>
      <c r="B7" s="9">
        <v>12</v>
      </c>
      <c r="C7" s="13"/>
      <c r="G7">
        <v>7</v>
      </c>
      <c r="H7">
        <v>5</v>
      </c>
      <c r="R7" s="16">
        <f>SUM(C7:Q7)</f>
        <v>12</v>
      </c>
    </row>
    <row r="8" spans="1:18" x14ac:dyDescent="0.25">
      <c r="A8" s="1" t="s">
        <v>11</v>
      </c>
      <c r="B8" s="8">
        <v>26</v>
      </c>
      <c r="C8" s="13"/>
      <c r="I8">
        <v>10</v>
      </c>
      <c r="J8">
        <v>14</v>
      </c>
      <c r="K8">
        <v>2</v>
      </c>
      <c r="R8" s="16">
        <f>SUM(C8:Q8)</f>
        <v>26</v>
      </c>
    </row>
    <row r="9" spans="1:18" x14ac:dyDescent="0.25">
      <c r="A9" s="1" t="s">
        <v>12</v>
      </c>
      <c r="B9" s="8">
        <v>29</v>
      </c>
      <c r="C9" s="13"/>
      <c r="K9">
        <v>6</v>
      </c>
      <c r="L9">
        <v>10</v>
      </c>
      <c r="M9">
        <v>9</v>
      </c>
      <c r="N9">
        <v>4</v>
      </c>
      <c r="R9" s="16">
        <f>SUM(C9:Q9)</f>
        <v>29</v>
      </c>
    </row>
    <row r="10" spans="1:18" x14ac:dyDescent="0.25">
      <c r="A10" s="1" t="s">
        <v>13</v>
      </c>
      <c r="B10" s="8">
        <v>14</v>
      </c>
      <c r="C10" s="13"/>
      <c r="N10">
        <v>8</v>
      </c>
      <c r="O10">
        <v>6</v>
      </c>
      <c r="R10" s="16">
        <f>SUM(C10:Q10)</f>
        <v>14</v>
      </c>
    </row>
    <row r="11" spans="1:18" x14ac:dyDescent="0.25">
      <c r="A11" s="1" t="s">
        <v>14</v>
      </c>
      <c r="B11" s="8">
        <v>9</v>
      </c>
      <c r="C11" s="14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>
        <v>4</v>
      </c>
      <c r="P11" s="15">
        <v>5</v>
      </c>
      <c r="Q11" s="15"/>
      <c r="R11" s="17">
        <f>SUM(C11:Q11)</f>
        <v>9</v>
      </c>
    </row>
    <row r="13" spans="1:18" ht="30" x14ac:dyDescent="0.25">
      <c r="A13" s="5" t="s">
        <v>2</v>
      </c>
      <c r="B13">
        <f>SUM(B5:B12)</f>
        <v>125</v>
      </c>
      <c r="C13">
        <f>B13-SUM(C5:C11)</f>
        <v>118</v>
      </c>
      <c r="D13">
        <f>C13-SUM(D5:D11)</f>
        <v>110</v>
      </c>
      <c r="E13">
        <f>D13-SUM(E5:E11)</f>
        <v>102</v>
      </c>
      <c r="F13">
        <f>E13-SUM(F5:F11)</f>
        <v>93</v>
      </c>
      <c r="G13">
        <f>F13-SUM(G5:G11)</f>
        <v>83</v>
      </c>
      <c r="H13">
        <f>G13-SUM(H5:H11)</f>
        <v>78</v>
      </c>
      <c r="I13">
        <f>H13-SUM(I5:I11)</f>
        <v>68</v>
      </c>
      <c r="J13">
        <f>I13-SUM(J5:J11)</f>
        <v>54</v>
      </c>
      <c r="K13">
        <f>J13-SUM(K5:K11)</f>
        <v>46</v>
      </c>
      <c r="L13">
        <f>K13-SUM(L5:L11)</f>
        <v>36</v>
      </c>
      <c r="M13">
        <f>L13-SUM(M5:M11)</f>
        <v>27</v>
      </c>
      <c r="N13">
        <f>M13-SUM(N5:N11)</f>
        <v>15</v>
      </c>
      <c r="O13">
        <f>N13-SUM(O5:O11)</f>
        <v>5</v>
      </c>
      <c r="P13">
        <f>O13-SUM(P5:P11)</f>
        <v>0</v>
      </c>
      <c r="Q13">
        <f>P13-SUM(Q5:Q11)</f>
        <v>0</v>
      </c>
    </row>
    <row r="15" spans="1:18" ht="30" x14ac:dyDescent="0.25">
      <c r="A15" s="5" t="s">
        <v>1</v>
      </c>
      <c r="B15">
        <f>SUM(B5:B11)</f>
        <v>125</v>
      </c>
      <c r="C15">
        <f>B15-(SUM($B$5:$B$11)/15)</f>
        <v>116.66666666666667</v>
      </c>
      <c r="D15">
        <f>C15-(SUM($B$5:$B$11)/15)</f>
        <v>108.33333333333334</v>
      </c>
      <c r="E15">
        <f>D15-(SUM($B$5:$B$11)/15)</f>
        <v>100.00000000000001</v>
      </c>
      <c r="F15">
        <f>E15-(SUM($B$5:$B$11)/15)</f>
        <v>91.666666666666686</v>
      </c>
      <c r="G15">
        <f>F15-(SUM($B$5:$B$11)/15)</f>
        <v>83.333333333333357</v>
      </c>
      <c r="H15">
        <f>G15-(SUM($B$5:$B$11)/15)</f>
        <v>75.000000000000028</v>
      </c>
      <c r="I15">
        <f>H15-(SUM($B$5:$B$11)/15)</f>
        <v>66.6666666666667</v>
      </c>
      <c r="J15">
        <f>I15-(SUM($B$5:$B$11)/15)</f>
        <v>58.333333333333364</v>
      </c>
      <c r="K15">
        <f>J15-(SUM($B$5:$B$11)/15)</f>
        <v>50.000000000000028</v>
      </c>
      <c r="L15">
        <f>K15-(SUM($B$5:$B$11)/15)</f>
        <v>41.666666666666693</v>
      </c>
      <c r="M15">
        <f>L15-(SUM($B$5:$B$11)/15)</f>
        <v>33.333333333333357</v>
      </c>
      <c r="N15">
        <f>M15-(SUM($B$5:$B$11)/15)</f>
        <v>25.000000000000021</v>
      </c>
      <c r="O15">
        <f>N15-(SUM($B$5:$B$11)/15)</f>
        <v>16.666666666666686</v>
      </c>
      <c r="P15">
        <f>O15-(SUM($B$5:$B$11)/15)</f>
        <v>8.3333333333333517</v>
      </c>
      <c r="Q15">
        <f>P15-(SUM($B$5:$B$11)/15)</f>
        <v>1.7763568394002505E-14</v>
      </c>
    </row>
    <row r="17" spans="2:7" x14ac:dyDescent="0.25">
      <c r="B17" s="3"/>
    </row>
    <row r="18" spans="2:7" x14ac:dyDescent="0.25">
      <c r="B18" s="3"/>
      <c r="G18" s="3"/>
    </row>
    <row r="19" spans="2:7" x14ac:dyDescent="0.25">
      <c r="B19" s="3"/>
      <c r="G19" s="3"/>
    </row>
    <row r="20" spans="2:7" x14ac:dyDescent="0.25">
      <c r="B20" s="3"/>
      <c r="G20" s="3"/>
    </row>
    <row r="21" spans="2:7" x14ac:dyDescent="0.25">
      <c r="B21" s="3"/>
      <c r="G21" s="3"/>
    </row>
    <row r="22" spans="2:7" x14ac:dyDescent="0.25">
      <c r="B22" s="3"/>
      <c r="G22" s="3"/>
    </row>
    <row r="23" spans="2:7" x14ac:dyDescent="0.25">
      <c r="B23" s="3"/>
      <c r="G23" s="3"/>
    </row>
    <row r="24" spans="2:7" x14ac:dyDescent="0.25">
      <c r="B24" s="3"/>
    </row>
    <row r="25" spans="2:7" x14ac:dyDescent="0.25">
      <c r="B25" s="3"/>
    </row>
    <row r="26" spans="2:7" x14ac:dyDescent="0.25">
      <c r="B26" s="3"/>
    </row>
  </sheetData>
  <mergeCells count="4">
    <mergeCell ref="C3:Q3"/>
    <mergeCell ref="B3:B4"/>
    <mergeCell ref="A3:A4"/>
    <mergeCell ref="R3:R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Sprint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Rodrigo Galaz Silva</dc:creator>
  <cp:lastModifiedBy>PEDRO NICOLAS SANTIBANEZ BLACK</cp:lastModifiedBy>
  <dcterms:created xsi:type="dcterms:W3CDTF">2018-02-12T12:05:26Z</dcterms:created>
  <dcterms:modified xsi:type="dcterms:W3CDTF">2026-10-11T21:54:14Z</dcterms:modified>
</cp:coreProperties>
</file>